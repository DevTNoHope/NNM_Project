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Phan_tich_yeu_cau" sheetId="1" r:id="rId5"/>
    <sheet state="visible" name="2_Ke_hoach_kiem_thu" sheetId="2" r:id="rId6"/>
    <sheet state="visible" name="3_Thiet_ke_kiem_thu" sheetId="3" r:id="rId7"/>
    <sheet state="visible" name="4_Test_Case" sheetId="4" r:id="rId8"/>
    <sheet state="visible" name="5_Test_Report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Đếm tổng số mã test case từ sheet 4_Test_Case.</t>
      </text>
    </comment>
    <comment authorId="0" ref="B7">
      <text>
        <t xml:space="preserve">TC đã thực hiện = Pass + Fail.</t>
      </text>
    </comment>
  </commentList>
</comments>
</file>

<file path=xl/sharedStrings.xml><?xml version="1.0" encoding="utf-8"?>
<sst xmlns="http://schemas.openxmlformats.org/spreadsheetml/2006/main" count="2483" uniqueCount="1376">
  <si>
    <t>PHÂN TÍCH YÊU CẦU - WEB QUYÊN GÓP TỪ THIỆN</t>
  </si>
  <si>
    <t>Ngữ cảnh dự án</t>
  </si>
  <si>
    <t>Website cho phép người dùng đăng ký/đăng nhập, xem chiến dịch, quyên góp, xem lịch sử; admin quản lý chiến dịch, người dùng và xem thống kê.</t>
  </si>
  <si>
    <t>Công nghệ chính</t>
  </si>
  <si>
    <t>Frontend React.js+ Vite; Backend Node.js/Express.js; MySQL; JWT; bcrypt; Multer; UI Tailwind CSS/Ant Design;Smart Contract Solidity + Hardhat + OpenZeppelin; IPFS metadata; Google OAuth + Wallet login.</t>
  </si>
  <si>
    <t>1. Danh sách chức năng</t>
  </si>
  <si>
    <t>Mã</t>
  </si>
  <si>
    <t>Nhóm</t>
  </si>
  <si>
    <t>Chức năng</t>
  </si>
  <si>
    <t>Mô tả</t>
  </si>
  <si>
    <t>Actor</t>
  </si>
  <si>
    <t>Ưu tiên</t>
  </si>
  <si>
    <t>F01</t>
  </si>
  <si>
    <t>Người dùng</t>
  </si>
  <si>
    <t>Đăng ký tài khoản</t>
  </si>
  <si>
    <t>Tạo tài khoản mới bằng họ tên, email, mật khẩu; phân quyền mặc định là user.</t>
  </si>
  <si>
    <t>Khách</t>
  </si>
  <si>
    <t>Cao</t>
  </si>
  <si>
    <t>F02</t>
  </si>
  <si>
    <t>Đăng nhập/đăng xuất</t>
  </si>
  <si>
    <t>Xác thực bằng email + mật khẩu, cấp JWT khi đăng nhập thành công, cho phép đăng xuất.</t>
  </si>
  <si>
    <t>Khách/Người dùng</t>
  </si>
  <si>
    <t>F03</t>
  </si>
  <si>
    <t>Xem danh sách chiến dịch</t>
  </si>
  <si>
    <t>Hiển thị các chiến dịch từ thiện, trạng thái, số tiền mục tiêu/đã quyên góp, ngày bắt đầu/kết thúc.</t>
  </si>
  <si>
    <t>F04</t>
  </si>
  <si>
    <t>Xem chi tiết chiến dịch</t>
  </si>
  <si>
    <t>Xem mô tả, hình ảnh, tiến độ, thời gian chiến dịch và nút quyên góp.</t>
  </si>
  <si>
    <t>F05</t>
  </si>
  <si>
    <t>Quyên góp tiền</t>
  </si>
  <si>
    <t>Tạo khoản quyên góp cho chiến dịch đang hoạt động; ghi nhận số tiền, thời gian, giao dịch thanh toán.</t>
  </si>
  <si>
    <t>Rất cao</t>
  </si>
  <si>
    <t>F06</t>
  </si>
  <si>
    <t>Xem lịch sử quyên góp</t>
  </si>
  <si>
    <t>Người dùng xem các lần quyên góp của chính mình theo chiến dịch, thời gian, số tiền, trạng thái.</t>
  </si>
  <si>
    <t>Trung bình</t>
  </si>
  <si>
    <t>F07</t>
  </si>
  <si>
    <t>Quản trị</t>
  </si>
  <si>
    <t>Quản lý chiến dịch (CRUD)</t>
  </si>
  <si>
    <t>Admin tạo, sửa, ẩn/hiện và cập nhật trạng thái chiến dịch.</t>
  </si>
  <si>
    <t>Admin</t>
  </si>
  <si>
    <t>F08</t>
  </si>
  <si>
    <t>Quản lý người dùng</t>
  </si>
  <si>
    <t>Admin xem danh sách người dùng, vai trò và trạng thái tài khoản.</t>
  </si>
  <si>
    <t>F09</t>
  </si>
  <si>
    <t>Xem thống kê/báo cáo</t>
  </si>
  <si>
    <t>Admin xem tổng số tiền quyên góp, số chiến dịch, số lượt quyên góp và số người dùng.</t>
  </si>
  <si>
    <t>F10</t>
  </si>
  <si>
    <t>Hệ thống</t>
  </si>
  <si>
    <t>Quản lý giao dịch</t>
  </si>
  <si>
    <t>Liên kết mỗi khoản quyên góp với bản ghi giao dịch (phương thức thanh toán, trạng thái).</t>
  </si>
  <si>
    <t>Hệ thống/Admin</t>
  </si>
  <si>
    <t>Hải</t>
  </si>
  <si>
    <t>Smart Contract</t>
  </si>
  <si>
    <t>Tạo Vault (Factory)</t>
  </si>
  <si>
    <t>Operator deploy HopeFundVault mới cho từng project; mỗi projectId chỉ 1 vault duy nhất.</t>
  </si>
  <si>
    <t>Admin/Operator</t>
  </si>
  <si>
    <t>Chuyển quyền operator</t>
  </si>
  <si>
    <t>Operator hiện tại chuyển quyền tạo vault cho địa chỉ mới.</t>
  </si>
  <si>
    <t>Operator</t>
  </si>
  <si>
    <t>Donate token vào vault</t>
  </si>
  <si>
    <t>Người dùng chuyển USDT vào vault của project; tối thiểu 0.1 token (MIN_DONATION = 1e17).</t>
  </si>
  <si>
    <t>User</t>
  </si>
  <si>
    <t>Founder claim (EIP-712)</t>
  </si>
  <si>
    <t>Founder rút tiền từ vault bằng chữ ký EIP-712 của adminSigner; chống replay attack bằng nonce + deadline.</t>
  </si>
  <si>
    <t>Founder</t>
  </si>
  <si>
    <t>Pause/Unpause vault</t>
  </si>
  <si>
    <t>AdminSigner tạm dừng hoặc mở lại hoạt động donate/claim của vault.</t>
  </si>
  <si>
    <t>AdminSigner</t>
  </si>
  <si>
    <t>Thay đổi admin signer</t>
  </si>
  <si>
    <t>AdminSigner hiện tại đổi sang địa chỉ admin mới.</t>
  </si>
  <si>
    <t>Xác thực</t>
  </si>
  <si>
    <t>Đăng nhập bằng Wallet</t>
  </si>
  <si>
    <t>Đăng nhập/đăng ký bằng địa chỉ ví MetaMask; tạo user mới nếu chưa tồn tại; trả JWT. linked_wallet unique.</t>
  </si>
  <si>
    <t>Xem/cập nhật profile</t>
  </si>
  <si>
    <t>Xem thông tin cá nhân (GET /users/me) và cập nhật name (PUT /users/me).</t>
  </si>
  <si>
    <t>Xác thực OTP tài khoản</t>
  </si>
  <si>
    <t>Gửi OTP qua email để xác thực tài khoản; cập nhật is_verified = 1.</t>
  </si>
  <si>
    <t>Xem profile công khai</t>
  </si>
  <si>
    <t>Xem thông tin công khai của user khác: name, role, dự án, lịch sử donate. Không lộ email/google_sub.</t>
  </si>
  <si>
    <t>Khách/User</t>
  </si>
  <si>
    <t>F11</t>
  </si>
  <si>
    <t>Dự án</t>
  </si>
  <si>
    <t>Xem lịch sử donate của project</t>
  </si>
  <si>
    <t>Hiển thị danh sách tất cả lượt quyên góp cho một dự án: donor, số tiền, thời gian, trạng thái.</t>
  </si>
  <si>
    <t>F12</t>
  </si>
  <si>
    <t>Quyên góp</t>
  </si>
  <si>
    <t>Donate crypto cho dự án</t>
  </si>
  <si>
    <t>Tạo donation (PENDING) qua API, gọi smart contract donate(), sau đó confirm crypto với tx hash → CONFIRMED.</t>
  </si>
  <si>
    <t>F13</t>
  </si>
  <si>
    <t>Xác nhận crypto donation</t>
  </si>
  <si>
    <t>Backend xác nhận tx hash on-chain, cập nhật donation status PENDING → CONFIRMED.</t>
  </si>
  <si>
    <t>F14</t>
  </si>
  <si>
    <t>Rút tiền</t>
  </si>
  <si>
    <t>Tạo yêu cầu rút tiền</t>
  </si>
  <si>
    <t>Founder tạo withdraw request (CRYPTO hoặc BANKING); hệ thống gửi email verify; status = PENDING_EMAIL.</t>
  </si>
  <si>
    <t>F15</t>
  </si>
  <si>
    <t>Xác thực email rút tiền</t>
  </si>
  <si>
    <t>Founder click link verify → status PENDING_EMAIL → PENDING.</t>
  </si>
  <si>
    <t>F16</t>
  </si>
  <si>
    <t>Gửi claim tx hash</t>
  </si>
  <si>
    <t>Sau khi admin approve + founder claim on-chain, gửi tx hash → status → CLAIMED.</t>
  </si>
  <si>
    <t>F17</t>
  </si>
  <si>
    <t>Xem số dư / danh sách request</t>
  </si>
  <si>
    <t>Founder xem balance khả dụng và danh sách withdraw requests.</t>
  </si>
  <si>
    <t>F18</t>
  </si>
  <si>
    <t>Duyệt/từ chối rút tiền</t>
  </si>
  <si>
    <t>Admin duyệt (ký EIP-712 signature) hoặc từ chối withdraw request.</t>
  </si>
  <si>
    <t>F19</t>
  </si>
  <si>
    <t>Tạo Vault on-chain cho project</t>
  </si>
  <si>
    <t>Admin upload metadata lên IPFS, gọi Factory.createVault() on-chain, lưu vault_address vào DB.</t>
  </si>
  <si>
    <t>Đạt</t>
  </si>
  <si>
    <t>Đăng nhập Google</t>
  </si>
  <si>
    <t>Đăng nhập nhanh thông qua Google OAuth2, tự động tạo tài khoản nếu lần 
đầu truy cập.</t>
  </si>
  <si>
    <t>Xem danh sách dự án</t>
  </si>
  <si>
    <t>Hiển thị các dự án thiện nguyện với thông tin tiêu đề, mô tả ngắn, số tiền 
mục tiêu và tiến độ.</t>
  </si>
  <si>
    <t>Xem chi tiết dự án</t>
  </si>
  <si>
    <t>Xem thông tin chi tiết, lịch sử quyên góp của dự án, các cập nhật từ chủ dự án.</t>
  </si>
  <si>
    <t>Quyên góp qua VNPay</t>
  </si>
  <si>
    <t>Tạo URL thanh toán, thực hiện giao dịch qua cổng VNPay và xác nhận kết quả.</t>
  </si>
  <si>
    <t>System</t>
  </si>
  <si>
    <t>Hệ thống điểm &amp; Rank</t>
  </si>
  <si>
    <t>Tính tổng điểm (dựa trên số tiền quyên góp) và tự động cấp Badge tương ứng.</t>
  </si>
  <si>
    <t>Quản lý Badge</t>
  </si>
  <si>
    <t>Người dùng có thể xem các Badge đã đạt được và chọn Badge hiển thị trên Profile.</t>
  </si>
  <si>
    <t>Xác thực JWT</t>
  </si>
  <si>
    <t>Cấp và kiểm tra Access Token/Refresh Token để bảo mật các API yêu cầu quyền đăng nhập.</t>
  </si>
  <si>
    <t>2. Quy tắc nghiệp vụ</t>
  </si>
  <si>
    <t>Quy tắc</t>
  </si>
  <si>
    <t>Áp dụng cho</t>
  </si>
  <si>
    <t>Kỳ vọng kiểm thử</t>
  </si>
  <si>
    <t>BR01</t>
  </si>
  <si>
    <t>Email đăng ký phải là duy nhất trong hệ thống.</t>
  </si>
  <si>
    <t>Chặn đăng ký trùng email, trả về thông báo rõ ràng.</t>
  </si>
  <si>
    <t>BR02</t>
  </si>
  <si>
    <t>Mật khẩu được lưu dưới dạng băm (bcrypt), không lưu plain text.</t>
  </si>
  <si>
    <t>Đăng ký/đăng nhập</t>
  </si>
  <si>
    <t>Đảm bảo an toàn dữ liệu người dùng.</t>
  </si>
  <si>
    <t>BR03</t>
  </si>
  <si>
    <t>Chỉ người dùng đã đăng nhập mới được thực hiện quyên góp và xem lịch sử quyên góp.</t>
  </si>
  <si>
    <t>Quyên góp/Lịch sử</t>
  </si>
  <si>
    <t>Yêu cầu JWT hợp lệ.</t>
  </si>
  <si>
    <t>BR04</t>
  </si>
  <si>
    <t>Số tiền quyên góp phải &gt; 0.</t>
  </si>
  <si>
    <t>Từ chối giá trị 0, âm, hoặc không hợp lệ.</t>
  </si>
  <si>
    <t>BR05</t>
  </si>
  <si>
    <t>Chỉ cho phép quyên góp vào chiến dịch đang hoạt động trong khoảng thời gian hiệu lực.</t>
  </si>
  <si>
    <t>Chiến dịch/Quyên góp</t>
  </si>
  <si>
    <t>Không cho quyên góp nếu chiến dịch đã ẩn, chưa bắt đầu hoặc đã kết thúc.</t>
  </si>
  <si>
    <t>BR06</t>
  </si>
  <si>
    <t>Mỗi khoản quyên góp thành công phải sinh đúng 1 bản ghi donation và 1 bản ghi transaction liên kết.</t>
  </si>
  <si>
    <t>Tích hợp donation-transaction</t>
  </si>
  <si>
    <t>Đảm bảo tính toàn vẹn dữ liệu.</t>
  </si>
  <si>
    <t>BR07</t>
  </si>
  <si>
    <t>current_amount của chiến dịch chỉ được cộng khi giao dịch ở trạng thái thành công.</t>
  </si>
  <si>
    <t>Quyên góp/Giao dịch</t>
  </si>
  <si>
    <t>Không tăng tiến độ cho giao dịch thất bại hoặc hủy.</t>
  </si>
  <si>
    <t>BR08</t>
  </si>
  <si>
    <t>Chỉ admin mới được truy cập các chức năng quản trị.</t>
  </si>
  <si>
    <t>Phân quyền</t>
  </si>
  <si>
    <t>User thường bị chặn và nhận 403 hoặc chuyển hướng phù hợp.</t>
  </si>
  <si>
    <t>BR09</t>
  </si>
  <si>
    <t>Chiến dịch đã có quyên góp không nên xóa cứng; ưu tiên ẩn/khóa để bảo toàn lịch sử.</t>
  </si>
  <si>
    <t>Quản lý chiến dịch</t>
  </si>
  <si>
    <t>Tránh mất dữ liệu nghiệp vụ.</t>
  </si>
  <si>
    <t>BR10</t>
  </si>
  <si>
    <t>Thống kê admin phải phản ánh dữ liệu đã commit thành công trong DB.</t>
  </si>
  <si>
    <t>Dashboard/Thống kê</t>
  </si>
  <si>
    <t>Số liệu thống nhất với bảng donations/transactions.</t>
  </si>
  <si>
    <t>linked_wallet phải unique trong bảng users.</t>
  </si>
  <si>
    <t>Wallet login</t>
  </si>
  <si>
    <t>Chặn đăng ký trùng wallet address.</t>
  </si>
  <si>
    <t>Token xác thực JWT hợp lệ mới truy cập API bảo vệ.</t>
  </si>
  <si>
    <t>Toàn hệ thống</t>
  </si>
  <si>
    <t>Request không có JWT hoặc JWT sai/hết hạn → 401.</t>
  </si>
  <si>
    <t>Chỉ ADMIN mới truy cập /admin/* và withdraw-approvals.</t>
  </si>
  <si>
    <t>User/Founder truy cập → 403 Forbidden.</t>
  </si>
  <si>
    <t>Số tiền donate on-chain phải &gt;= MIN_DONATION (0.1 token).</t>
  </si>
  <si>
    <t>Smart Contract donate</t>
  </si>
  <si>
    <t>Revert nếu amount &lt; 1e17.</t>
  </si>
  <si>
    <t>Mỗi nonce chỉ dùng 1 lần để chống replay attack.</t>
  </si>
  <si>
    <t>Smart Contract claim</t>
  </si>
  <si>
    <t>Claim lần 2 với cùng nonce → Revert.</t>
  </si>
  <si>
    <t>Chữ ký EIP-712 phải do adminSigner ký và chưa hết deadline.</t>
  </si>
  <si>
    <t>Sai signer hoặc hết hạn → Revert.</t>
  </si>
  <si>
    <t>Founder chỉ claim được khi vault có đủ balance.</t>
  </si>
  <si>
    <t>Amount &gt; balance → Revert.</t>
  </si>
  <si>
    <t>Donation status chỉ chuyển CONFIRMED khi tx on-chain thành công.</t>
  </si>
  <si>
    <t>Donate crypto</t>
  </si>
  <si>
    <t>Tx thất bại → status vẫn PENDING; current_amount không tăng.</t>
  </si>
  <si>
    <t>Withdraw request phải qua email verify trước khi admin duyệt.</t>
  </si>
  <si>
    <t>PENDING_EMAIL → verify → PENDING → APPROVED → CLAIMED.</t>
  </si>
  <si>
    <t>Mỗi projectId chỉ được tạo 1 vault duy nhất.</t>
  </si>
  <si>
    <t>Create vault</t>
  </si>
  <si>
    <t>Tạo vault lần 2 cho cùng project → Revert.</t>
  </si>
  <si>
    <t>Điểm tích lũy</t>
  </si>
  <si>
    <t>Điểm chỉ được cộng sau khi giao dịch VNPay thành công (ResponseCode: 00) 
hoặc Crypto được xác minh on-chain.</t>
  </si>
  <si>
    <t>Cập nhật Rank</t>
  </si>
  <si>
    <t>Hệ thống điểm</t>
  </si>
  <si>
    <t>Rank được cập nhật ngay lập tức sau khi điểm tích lũy vượt ngưỡng min_points 
của Badge tiếp theo.</t>
  </si>
  <si>
    <t>Authentication</t>
  </si>
  <si>
    <t>Trả về JWT hợp lệ (accessToken) và lưu thông tin người dùng (email, google_sub) vào 
DB nếu là user mới.</t>
  </si>
  <si>
    <t>Xác thực thanh toán</t>
  </si>
  <si>
    <t>VNPay</t>
  </si>
  <si>
    <t>Mọi giao dịch phải được kiểm tra Checksum (SecureHash) từ 
VNPay để tránh giả mạo dữ liệu.</t>
  </si>
  <si>
    <t>Nhất quán dữ liệu</t>
  </si>
  <si>
    <t>Giao dịch</t>
  </si>
  <si>
    <t>Một mã tham chiếu giao dịch (vnp_TxnRef) không được 
xác nhận thành công hai lần.</t>
  </si>
  <si>
    <t>Thất bại thanh toán</t>
  </si>
  <si>
    <t>Nếu thanh toán thất bại, trạng thái Donation chuyển sang FAILED 
và không cập nhật điểm hay tiến độ dự án.</t>
  </si>
  <si>
    <t>3. Yêu cầu phi chức năng</t>
  </si>
  <si>
    <t>Loại</t>
  </si>
  <si>
    <t>Yêu cầu</t>
  </si>
  <si>
    <t>Cách đánh giá</t>
  </si>
  <si>
    <t>NFR01</t>
  </si>
  <si>
    <t>Hiệu năng</t>
  </si>
  <si>
    <t>Trang danh sách/chi tiết chiến dịch phản hồi &lt; 3 giây với tải thông thường; API đọc dữ liệu 95% request &lt; 2 giây.</t>
  </si>
  <si>
    <t>Lighthouse, JMeter</t>
  </si>
  <si>
    <t>NFR02</t>
  </si>
  <si>
    <t>Bảo mật</t>
  </si>
  <si>
    <t>Xác thực JWT hợp lệ; chặn truy cập trái phép; chống lộ mật khẩu; đầu vào được kiểm tra để giảm nguy cơ SQL Injection/XSS.</t>
  </si>
  <si>
    <t>Postman/Newman, OWASP ZAP</t>
  </si>
  <si>
    <t>NFR03</t>
  </si>
  <si>
    <t>Khả dụng</t>
  </si>
  <si>
    <t>Các chức năng chính (đăng nhập, xem chiến dịch, quyên góp) hoạt động ổn định, không lỗi nghiêm trọng trong ca sử dụng phổ biến.</t>
  </si>
  <si>
    <t>Kiểm thử hệ thống</t>
  </si>
  <si>
    <t>NFR04</t>
  </si>
  <si>
    <t>Tương thích</t>
  </si>
  <si>
    <t>Giao diện hoạt động tốt trên Chrome/Edge và hiển thị hợp lý ở mobile/tablet/desktop.</t>
  </si>
  <si>
    <t>Playwright, trình duyệt thực tế</t>
  </si>
  <si>
    <t>NFR05</t>
  </si>
  <si>
    <t>Khả năng sử dụng</t>
  </si>
  <si>
    <t>Thông báo lỗi rõ ràng, form dễ dùng, màu sắc/nút bấm nhất quán, người dùng hoàn thành quyên góp với ít thao tác.</t>
  </si>
  <si>
    <t>UI review, Lighthouse</t>
  </si>
  <si>
    <t>NFR06</t>
  </si>
  <si>
    <t>Toàn vẹn dữ liệu</t>
  </si>
  <si>
    <t>Dữ liệu donation, campaign, transaction được đồng bộ chính xác giữa frontend, API và MySQL.</t>
  </si>
  <si>
    <t>Kiểm thử tích hợp</t>
  </si>
  <si>
    <t>NFR07</t>
  </si>
  <si>
    <t>Khả năng mở rộng</t>
  </si>
  <si>
    <t>Có thể tăng số lượng chiến dịch và người dùng mà không ảnh hưởng đáng kể đến chức năng lõi ở tải vừa.</t>
  </si>
  <si>
    <t>JMeter/k6</t>
  </si>
  <si>
    <t>NFR08</t>
  </si>
  <si>
    <t>Bảo trì</t>
  </si>
  <si>
    <t>Mã nguồn tách lớp rõ ràng (React/Express/MySQL), log lỗi đủ để phân tích sự cố.</t>
  </si>
  <si>
    <t>Review + test log</t>
  </si>
  <si>
    <t>JWT giả mạo/hết hạn bị từ chối; chống replay attack on-chain; endpoint admin được bảo vệ role.</t>
  </si>
  <si>
    <t>Postman/Newman, Hardhat</t>
  </si>
  <si>
    <t>Donate thất bại on-chain không cập nhật DB; nonce chỉ dùng 1 lần; withdraw status transition đúng thứ tự.</t>
  </si>
  <si>
    <t>An toàn đầu vào</t>
  </si>
  <si>
    <t>Chống SQL Injection tại wallet login; validate input amount, wallet address.</t>
  </si>
  <si>
    <t>Postman/Newman</t>
  </si>
  <si>
    <t>API withdraw-requests, donations phản hồi &lt; 2 giây với tải thông thường.</t>
  </si>
  <si>
    <t>JMeter</t>
  </si>
  <si>
    <t>Giao diện donate/withdraw hoạt động trên Chrome/Edge; responsive mobile/desktop.</t>
  </si>
  <si>
    <t>Luồng chính (wallet login → donate → withdraw → claim) hoạt động ổn định, không lỗi nghiêm trọng.</t>
  </si>
  <si>
    <t>Mã hóa mật khẩu (nếu có) và 
bảo vệ API bằng JWT.</t>
  </si>
  <si>
    <t>Kiểm tra mã nguồn sử dụng bcrypt và middleware xác thực.</t>
  </si>
  <si>
    <t>Xác thực giao dịch VNPay qua Hash Secret.</t>
  </si>
  <si>
    <t>Test callback với checksum sai phải bị từ chối.</t>
  </si>
  <si>
    <t>Thời gian phản hồi API danh sách dự án &lt; 500ms.</t>
  </si>
  <si>
    <t>Sử dụng công cụ đo performance (Lighthouse/Postman).</t>
  </si>
  <si>
    <t>UI/UX</t>
  </si>
  <si>
    <t>Giao diện đáp ứng (Responsive) 
tốt trên mobile và desktop.</t>
  </si>
  <si>
    <t>Kiểm tra hiển thị trên nhiều kích thước màn hình qua Chrome DevTools.</t>
  </si>
  <si>
    <t>Tin cậy</t>
  </si>
  <si>
    <t>Đảm bảo tính toàn vẹn dữ liệu giữa 
bảng donations và transactions.</t>
  </si>
  <si>
    <t>Kiểm tra tính nhất quán dữ liệu trong DB sau mỗi giao dịch.</t>
  </si>
  <si>
    <t>KẾ HOẠCH KIỂM THỬ (KHÔNG BAO GỒM UNIT TEST)</t>
  </si>
  <si>
    <t>A. Kế hoạch tổng thể</t>
  </si>
  <si>
    <t>Hạng mục</t>
  </si>
  <si>
    <t>Nội dung</t>
  </si>
  <si>
    <t>Mục tiêu</t>
  </si>
  <si>
    <t>Xác minh luồng nghiệp vụ chính của web quyên góp từ thiện hoạt động đúng từ frontend -&gt; API -&gt; DB; phát hiện lỗi tích hợp, lỗi chức năng và rủi ro hệ thống trước khi demo/nghiệm thu.</t>
  </si>
  <si>
    <t>Phạm vi kiểm thử</t>
  </si>
  <si>
    <t>Bao gồm: kiểm thử tích hợp, kiểm thử chức năng, kiểm thử hệ thống (UI, hiệu năng cơ bản, bảo mật cơ bản, tương thích trình duyệt, khả năng sử dụng).</t>
  </si>
  <si>
    <t>Ngoài phạm vi</t>
  </si>
  <si>
    <t>Không lập kế hoạch unit test theo yêu cầu; không kiểm thử chuyên sâu cho hạ tầng production, backup/restore, thanh toán thật ngoài sandbox.</t>
  </si>
  <si>
    <t>Đối tượng kiểm thử</t>
  </si>
  <si>
    <t>Frontend React.js, Backend Node.js/Express.js, MySQL, cơ chế JWT/bcrypt, module chiến dịch, quyên góp, quản trị, thống kê.</t>
  </si>
  <si>
    <t>Chiến lược</t>
  </si>
  <si>
    <t>1) Kiểm thử tích hợp API-DB và frontend-API cho các luồng chính. 2) Kiểm thử chức năng theo use case người dùng/admin. 3) Kiểm thử hệ thống end-to-end + UI + phi chức năng trọng yếu.</t>
  </si>
  <si>
    <t>Môi trường</t>
  </si>
  <si>
    <t>Test/Staging dùng dữ liệu mẫu; trình duyệt Chrome/Edge; thiết bị desktop và mobile viewport; CSDL MySQL test; thanh toán ở chế độ mô phỏng hoặc sandbox.</t>
  </si>
  <si>
    <t>Công cụ</t>
  </si>
  <si>
    <t>Postman/Newman (API), Playwright (UI regression/cross-browser cơ bản), Lighthouse (hiệu năng + accessibility + best practices), JMeter (tải), OWASP ZAP (quét bảo mật), Excel để quản lý test case.</t>
  </si>
  <si>
    <t>Tiêu chí bắt đầu</t>
  </si>
  <si>
    <t>Tài liệu yêu cầu/use case ổn định; build deploy được lên môi trường test; DB test sẵn dữ liệu; API chính sẵn sàng; quyền truy cập test đầy đủ.</t>
  </si>
  <si>
    <t>Tiêu chí kết thúc</t>
  </si>
  <si>
    <t>100% test case ưu tiên cao được chạy; không còn lỗi nghiêm trọng (Blocker/Critical) ở luồng đăng nhập, xem chiến dịch, quyên góp, quản trị chiến dịch; tỷ lệ pass mục tiêu &gt;= 85%.</t>
  </si>
  <si>
    <t>Đầu ra</t>
  </si>
  <si>
    <t>Bộ test design, test case, log lỗi, test report, danh sách rủi ro còn tồn tại, đề xuất cải tiến trước demo.</t>
  </si>
  <si>
    <t>Rủi ro</t>
  </si>
  <si>
    <t>Yêu cầu thanh toán/sandbox thay đổi; dữ liệu test không đủ; lỗi phân quyền/đồng bộ current_amount; môi trường test không ổn định; thời gian kiểm thử ngắn.</t>
  </si>
  <si>
    <t>B. Lịch thực hiện kiểm thử</t>
  </si>
  <si>
    <t>Giai đoạn</t>
  </si>
  <si>
    <t>Loại kiểm thử</t>
  </si>
  <si>
    <t>Đầu vào</t>
  </si>
  <si>
    <t>Người phụ trách</t>
  </si>
  <si>
    <t>Thời lượng dự kiến</t>
  </si>
  <si>
    <t>1. Chuẩn bị</t>
  </si>
  <si>
    <t>Rà soát yêu cầu, tạo dữ liệu test, cấu hình môi trường, xác định tool</t>
  </si>
  <si>
    <t>Chuẩn bị</t>
  </si>
  <si>
    <t>Tài liệu yêu cầu, source code, DB test</t>
  </si>
  <si>
    <t>Checklist sẵn sàng</t>
  </si>
  <si>
    <t>QA/nhóm dự án</t>
  </si>
  <si>
    <t>0.5 ngày</t>
  </si>
  <si>
    <t>2. Kiểm thử tích hợp</t>
  </si>
  <si>
    <t>Kiểm tra luồng frontend-API-DB: auth, chiến dịch, donation, transaction, thống kê</t>
  </si>
  <si>
    <t>Tích hợp</t>
  </si>
  <si>
    <t>API + DB sẵn sàng</t>
  </si>
  <si>
    <t>Kết quả tích hợp, defect log</t>
  </si>
  <si>
    <t>QA + Dev backend/frontend</t>
  </si>
  <si>
    <t>1 ngày</t>
  </si>
  <si>
    <t>3. Kiểm thử chức năng</t>
  </si>
  <si>
    <t>Chạy test theo use case người dùng và admin</t>
  </si>
  <si>
    <t>Build ổn định sau fix tích hợp</t>
  </si>
  <si>
    <t>Biên bản pass/fail chức năng</t>
  </si>
  <si>
    <t>QA</t>
  </si>
  <si>
    <t>4. Kiểm thử hệ thống</t>
  </si>
  <si>
    <t>Kiểm thử end-to-end, giao diện, responsive, hiệu năng cơ bản, bảo mật cơ bản</t>
  </si>
  <si>
    <t>Bản build gần hoàn chỉnh</t>
  </si>
  <si>
    <t>Kết quả hệ thống + report tool</t>
  </si>
  <si>
    <t>5. Re-test &amp; Regression</t>
  </si>
  <si>
    <t>Xác nhận lỗi đã sửa, chạy lại ca quan trọng</t>
  </si>
  <si>
    <t>Tích hợp/Chức năng/Hệ thống</t>
  </si>
  <si>
    <t>Bản fix từ dev</t>
  </si>
  <si>
    <t>Tỷ lệ pass cuối</t>
  </si>
  <si>
    <t>6. Tổng hợp báo cáo</t>
  </si>
  <si>
    <t>Tổng hợp số liệu, đánh giá chất lượng, đề xuất release/demo</t>
  </si>
  <si>
    <t>Báo cáo</t>
  </si>
  <si>
    <t>Kết quả test</t>
  </si>
  <si>
    <t>Test report</t>
  </si>
  <si>
    <t>QA/Leader</t>
  </si>
  <si>
    <t>C. Entry / Exit criteria</t>
  </si>
  <si>
    <t>Tiêu chí</t>
  </si>
  <si>
    <t>Entry-01</t>
  </si>
  <si>
    <t>Có tài khoản test cho user và admin.</t>
  </si>
  <si>
    <t>Entry-02</t>
  </si>
  <si>
    <t>Có ít nhất 3 chiến dịch mẫu: đang hoạt động, đã kết thúc, đang ẩn.</t>
  </si>
  <si>
    <t>Entry-03</t>
  </si>
  <si>
    <t>Có dữ liệu transaction với trạng thái success/failed để đối soát.</t>
  </si>
  <si>
    <t>Exit-01</t>
  </si>
  <si>
    <t>Không còn lỗi Blocker/Critical ở các luồng chính.</t>
  </si>
  <si>
    <t>Exit-02</t>
  </si>
  <si>
    <t>Các lỗi Major còn lại có workaround chấp nhận được hoặc đã thống nhất xử lý sau demo.</t>
  </si>
  <si>
    <t>Exit-03</t>
  </si>
  <si>
    <t>Test report được cập nhật đầy đủ số liệu thực thi và đánh giá rủi ro còn lại.</t>
  </si>
  <si>
    <t>THIẾT KẾ KIỂM THỬ</t>
  </si>
  <si>
    <t>Ghi chú</t>
  </si>
  <si>
    <t>Bao gồm kiểm thử chức năng, tích hợp, giao diện và phi chức năng trọng yếu.</t>
  </si>
  <si>
    <t>Ma trận thiết kế kiểm thử</t>
  </si>
  <si>
    <t>Mã TK</t>
  </si>
  <si>
    <t>Mức kiểm thử</t>
  </si>
  <si>
    <t>Chức năng/Đối tượng</t>
  </si>
  <si>
    <t>Test cái gì?</t>
  </si>
  <si>
    <t>Dữ liệu/Điều kiện chính</t>
  </si>
  <si>
    <t>Kỹ thuật thiết kế</t>
  </si>
  <si>
    <t>TD01</t>
  </si>
  <si>
    <t>Kiểm tra frontend gửi đúng payload; API tạo user; DB lưu user mới với role=user và password đã băm.</t>
  </si>
  <si>
    <t>Email hợp lệ, email trùng, mật khẩu trống/không hợp lệ</t>
  </si>
  <si>
    <t>Phân lớp tương đương, dữ liệu âm</t>
  </si>
  <si>
    <t>TD02</t>
  </si>
  <si>
    <t>Đăng nhập</t>
  </si>
  <si>
    <t>Kiểm tra xác thực, cấp JWT, lưu session/token ở frontend, chặn sai mật khẩu.</t>
  </si>
  <si>
    <t>Tài khoản hợp lệ/không hợp lệ</t>
  </si>
  <si>
    <t>Phân lớp tương đương</t>
  </si>
  <si>
    <t>TD03</t>
  </si>
  <si>
    <t>Danh sách chiến dịch</t>
  </si>
  <si>
    <t>Kiểm tra hiển thị đúng title, target_amount, current_amount, status, ngày bắt đầu/kết thúc; phân trang/tìm kiếm nếu có.</t>
  </si>
  <si>
    <t>Có chiến dịch active/hidden/ended</t>
  </si>
  <si>
    <t>Kiểm tra hiển thị dữ liệu</t>
  </si>
  <si>
    <t>TD04</t>
  </si>
  <si>
    <t>Chi tiết chiến dịch</t>
  </si>
  <si>
    <t>Kiểm tra nội dung chi tiết, ảnh, tiến độ, trạng thái chiến dịch, nút Quyên góp.</t>
  </si>
  <si>
    <t>Campaign id hợp lệ/không hợp lệ</t>
  </si>
  <si>
    <t>TD05</t>
  </si>
  <si>
    <t>Quyên góp thành công</t>
  </si>
  <si>
    <t>Kiểm tra tạo donation, transaction success, current_amount tăng đúng, lịch sử hiển thị đúng.</t>
  </si>
  <si>
    <t>User đăng nhập, campaign active, amount hợp lệ</t>
  </si>
  <si>
    <t>Luồng end-to-end</t>
  </si>
  <si>
    <t>TD06</t>
  </si>
  <si>
    <t>Quyên góp thất bại</t>
  </si>
  <si>
    <t>Kiểm tra transaction failed thì không cộng current_amount và hiển thị thông báo phù hợp.</t>
  </si>
  <si>
    <t>Mô phỏng lỗi thanh toán</t>
  </si>
  <si>
    <t>Luồng thay đổi trạng thái</t>
  </si>
  <si>
    <t>TD07</t>
  </si>
  <si>
    <t>Lịch sử quyên góp</t>
  </si>
  <si>
    <t>Kiểm tra chỉ hiển thị dữ liệu của người dùng hiện tại; đúng số tiền, thời gian, trạng thái.</t>
  </si>
  <si>
    <t>Nhiều donation của nhiều user</t>
  </si>
  <si>
    <t>Phân quyền dữ liệu</t>
  </si>
  <si>
    <t>TD08</t>
  </si>
  <si>
    <t>Quản lý chiến dịch (Admin)</t>
  </si>
  <si>
    <t>Kiểm tra tạo/sửa/ẩn-hiện chiến dịch; validate trường bắt buộc; dữ liệu hiển thị đồng nhất user/admin.</t>
  </si>
  <si>
    <t>Admin login</t>
  </si>
  <si>
    <t>CRUD + kiểm tra validate</t>
  </si>
  <si>
    <t>TD09</t>
  </si>
  <si>
    <t>Quản lý người dùng (Admin)</t>
  </si>
  <si>
    <t>Kiểm tra xem danh sách user, role, trạng thái; chặn user thường truy cập trang admin.</t>
  </si>
  <si>
    <t>Admin và user thường</t>
  </si>
  <si>
    <t>Role-based access</t>
  </si>
  <si>
    <t>TD10</t>
  </si>
  <si>
    <t>Dashboard thống kê</t>
  </si>
  <si>
    <t>Kiểm tra số liệu tổng tiền, số lượt donate, số chiến dịch khớp DB.</t>
  </si>
  <si>
    <t>Có dữ liệu mẫu trong DB</t>
  </si>
  <si>
    <t>Đối soát dữ liệu</t>
  </si>
  <si>
    <t>TD11</t>
  </si>
  <si>
    <t>Hệ thống/UI</t>
  </si>
  <si>
    <t>Form đăng ký/đăng nhập</t>
  </si>
  <si>
    <t>Kiểm tra label, placeholder, thông báo lỗi, focus, tab order, căn lề, nút bấm, responsive.</t>
  </si>
  <si>
    <t>Desktop + mobile viewport</t>
  </si>
  <si>
    <t>Checklist UI</t>
  </si>
  <si>
    <t>TD12</t>
  </si>
  <si>
    <t>Trang danh sách/chi tiết chiến dịch</t>
  </si>
  <si>
    <t>Kiểm tra bố cục, ảnh, nút CTA, màu sắc, text overflow, empty/loading state.</t>
  </si>
  <si>
    <t>Nhiều kích thước màn hình</t>
  </si>
  <si>
    <t>TD13</t>
  </si>
  <si>
    <t>Trang quản trị</t>
  </si>
  <si>
    <t>Kiểm tra bảng dữ liệu, modal/form nhập, thông báo thành công/thất bại, hành vi sau refresh.</t>
  </si>
  <si>
    <t>Checklist UI + usability</t>
  </si>
  <si>
    <t>TD14</t>
  </si>
  <si>
    <t>Hệ thống/Phi chức năng</t>
  </si>
  <si>
    <t>Hiệu năng frontend</t>
  </si>
  <si>
    <t>Đo hiệu năng trang chủ/trang campaign bằng Lighthouse: Performance, Best Practices, Accessibility.</t>
  </si>
  <si>
    <t>Build tối ưu</t>
  </si>
  <si>
    <t>Đo chỉ số tool</t>
  </si>
  <si>
    <t>TD15</t>
  </si>
  <si>
    <t>Hiệu năng API</t>
  </si>
  <si>
    <t>Đo thời gian phản hồi các API chính khi có tải đồng thời; theo dõi error rate.</t>
  </si>
  <si>
    <t>Môi trường test ổn định</t>
  </si>
  <si>
    <t>Load test</t>
  </si>
  <si>
    <t>TD16</t>
  </si>
  <si>
    <t>Bảo mật xác thực</t>
  </si>
  <si>
    <t>Kiểm tra JWT giả mạo/hết hạn, truy cập trái phép, endpoint admin.</t>
  </si>
  <si>
    <t>Token hợp lệ/không hợp lệ</t>
  </si>
  <si>
    <t>Negative + security testing</t>
  </si>
  <si>
    <t>TD17</t>
  </si>
  <si>
    <t>Quét nguy cơ SQL Injection/XSS ở form login, donate, create campaign.</t>
  </si>
  <si>
    <t>Payload độc hại mẫu</t>
  </si>
  <si>
    <t>Security scan</t>
  </si>
  <si>
    <t>TD18</t>
  </si>
  <si>
    <t>Chạy smoke test trên Chrome/Edge và viewport mobile; kiểm tra sai khác hiển thị nghiêm trọng.</t>
  </si>
  <si>
    <t>Playwright hoặc test trình duyệt</t>
  </si>
  <si>
    <t>Cross-browser</t>
  </si>
  <si>
    <t>Unit</t>
  </si>
  <si>
    <t>HopeFundFactory — createVault</t>
  </si>
  <si>
    <t>Kiểm tra operator tạo vault đúng; vault address khác 0; event VaultCreated phát ra; vaults[projectId] lưu đúng; totalVaults tăng.</t>
  </si>
  <si>
    <t>projectId hợp lệ, founder hợp lệ, adminSigner hợp lệ, metaHash hợp lệ</t>
  </si>
  <si>
    <t>HopeFundFactory — validate</t>
  </si>
  <si>
    <t>Kiểm tra revert khi: projectId đã tồn tại vault; founder = address(0); adminSigner = address(0); người gọi không phải operator.</t>
  </si>
  <si>
    <t>projectId trùng, address(0), account khác operator</t>
  </si>
  <si>
    <t>Dữ liệu âm, boundary</t>
  </si>
  <si>
    <t>HopeFundFactory — setOperator</t>
  </si>
  <si>
    <t>Kiểm tra chuyển quyền operator; event OperatorChanged; chặn chuyển cho address(0).</t>
  </si>
  <si>
    <t>newOperator hợp lệ, address(0)</t>
  </si>
  <si>
    <t>HopeFundVault — donate</t>
  </si>
  <si>
    <t>Kiểm tra donate &gt;= MIN_DONATION thành công; totalDonated tăng; event Donated; chặn donate &lt; MIN_DONATION; chặn khi paused.</t>
  </si>
  <si>
    <t>amount = 1e18 (pass), 1e16 (fail), 1e17 (boundary), paused state</t>
  </si>
  <si>
    <t>Giá trị biên, Pausable</t>
  </si>
  <si>
    <t>HopeFundVault — claim (EIP-712)</t>
  </si>
  <si>
    <t>Kiểm tra founder claim với signature hợp lệ; totalClaimed tăng; usedNonce = true; chặn: sai signer, nonce đã dùng, deadline hết hạn, amount &gt; balance, người gọi không phải founder.</t>
  </si>
  <si>
    <t>signature hợp lệ/giả, nonce mới/đã dùng, deadline future/past, balance đủ/không đủ</t>
  </si>
  <si>
    <t>Bảng quyết định, replay attack</t>
  </si>
  <si>
    <t>HopeFundVault — pause/unpause</t>
  </si>
  <si>
    <t>Kiểm tra adminSigner pause chặn donate/claim; unpause khôi phục hoạt động; chặn người khác gọi pause.</t>
  </si>
  <si>
    <t>adminSigner vs non-adminSigner</t>
  </si>
  <si>
    <t>Phân quyền, trạng thái</t>
  </si>
  <si>
    <t>HopeFundVault — setAdminSigner</t>
  </si>
  <si>
    <t>Kiểm tra thay đổi adminSigner; event AdminSignerChanged; chặn address(0); chặn người không phải adminSigner.</t>
  </si>
  <si>
    <t>newSigner hợp lệ/address(0)</t>
  </si>
  <si>
    <t>Kiểm tra API tạo user mới khi wallet chưa tồn tại; trả JWT; tìm user cũ khi wallet đã tồn tại; chặn wallet rỗng.</t>
  </si>
  <si>
    <t>wallet mới, wallet đã tồn tại, wallet rỗng/null</t>
  </si>
  <si>
    <t>Quản lý profile user</t>
  </si>
  <si>
    <t>Kiểm tra GET /users/me trả đúng info; PUT /users/me cập nhật name; profile công khai không lộ email.</t>
  </si>
  <si>
    <t>JWT hợp lệ, name mới, userId tồn tại</t>
  </si>
  <si>
    <t>OTP xác thực tài khoản</t>
  </si>
  <si>
    <t>Kiểm tra gửi OTP → verify OTP đúng → is_verified = 1; OTP sai → is_verified = 0.</t>
  </si>
  <si>
    <t>OTP đúng/sai</t>
  </si>
  <si>
    <t>Xem donations của project</t>
  </si>
  <si>
    <t>Kiểm tra API trả đúng danh sách donations; project không tồn tại trả 404/rỗng.</t>
  </si>
  <si>
    <t>projectId có donations, projectId = 999999</t>
  </si>
  <si>
    <t>Donate crypto end-to-end</t>
  </si>
  <si>
    <t>Kiểm tra luồng: API tạo donation PENDING → contract donate() → confirm crypto → CONFIRMED; chặn donate cho project không có vault; chặn khi chưa login.</t>
  </si>
  <si>
    <t>project có vault/không có vault, tx hash hợp lệ/không hợp lệ</t>
  </si>
  <si>
    <t>Donate thất bại</t>
  </si>
  <si>
    <t>Kiểm tra khi tx on-chain thất bại: donation vẫn PENDING; DB không cập nhật current_amount.</t>
  </si>
  <si>
    <t>Mô phỏng tx fail</t>
  </si>
  <si>
    <t>Withdraw — tạo request + email verify</t>
  </si>
  <si>
    <t>Kiểm tra tạo request PENDING_EMAIL → gửi email → verify token đúng → PENDING; chặn amount &gt; balance; chặn user thường tạo; token sai → không chuyển status.</t>
  </si>
  <si>
    <t>amount hợp lệ/quá balance, token đúng/sai, role Founder/User</t>
  </si>
  <si>
    <t>Luồng trạng thái, phân quyền</t>
  </si>
  <si>
    <t>Withdraw — approve + claim on-chain</t>
  </si>
  <si>
    <t>Kiểm tra admin approve (ký EIP-712) → founder claim on-chain → gửi tx hash → CLAIMED; admin reject → REJECTED.</t>
  </si>
  <si>
    <t>decision APPROVED/REJECTED, signature, txHash</t>
  </si>
  <si>
    <t>Admin tạo vault on-chain</t>
  </si>
  <si>
    <t>Kiểm tra create-vault cho project APPROVED: upload IPFS, deploy contract, lưu vault_address; chặn cho project chưa APPROVED.</t>
  </si>
  <si>
    <t>project APPROVED/DRAFT</t>
  </si>
  <si>
    <t>Bảo mật JWT + phân quyền</t>
  </si>
  <si>
    <t>Kiểm tra JWT giả mạo/hết hạn → 401; User truy cập /admin/* → 403; SQL injection tại wallet login.</t>
  </si>
  <si>
    <t>Token tampered/expired, role USER, payload SQL</t>
  </si>
  <si>
    <t>Toàn vẹn dữ liệu on-chain</t>
  </si>
  <si>
    <t>Kiểm tra replay attack (nonce cũ) bị chặn; donate fail không cập nhật DB.</t>
  </si>
  <si>
    <t>nonce đã dùng, tx fail</t>
  </si>
  <si>
    <t>Security + integrity</t>
  </si>
  <si>
    <t>TD19</t>
  </si>
  <si>
    <t>Hiệu năng + Tương thích</t>
  </si>
  <si>
    <t>Đo response time API withdraw/donations &lt; 2s; responsive trang donate/withdraw trên mobile.</t>
  </si>
  <si>
    <t>JMeter 50 VU, viewport 375px/768px/1440px</t>
  </si>
  <si>
    <t>Load test, responsive</t>
  </si>
  <si>
    <t>Unit/Integration</t>
  </si>
  <si>
    <t>Google Login</t>
  </si>
  <si>
    <t>Khả năng xác thực token Google và tạo/lấy user từ DB.</t>
  </si>
  <si>
    <t>ID Token hợp lệ từ Google, User mới/cũ.</t>
  </si>
  <si>
    <t>Phân vùng tương đương, Bảng quyết định.</t>
  </si>
  <si>
    <t>VNPay Payment</t>
  </si>
  <si>
    <t>Quy trình tạo URL và xử lý callback từ VNPay (Checksum/Return).</t>
  </si>
  <si>
    <t>vnp_Amount, vnp_TxnRef, mã phản hồi (00/01/24).</t>
  </si>
  <si>
    <t>Phân tích giá trị biên, 
Bảng quyết định.</t>
  </si>
  <si>
    <t>Integration</t>
  </si>
  <si>
    <t>Point System</t>
  </si>
  <si>
    <t>Logic cộng điểm tích lũy và gán Badge sau khi thanh toán.</t>
  </si>
  <si>
    <t>Tổng số tiền quyên góp, mốc min_points của Badge.</t>
  </si>
  <si>
    <t>Kịch bản nghiệp vụ 
(Scenario).</t>
  </si>
  <si>
    <t>Project Listing</t>
  </si>
  <si>
    <t>Hiển thị danh sách dự án, phân trang và lọc theo Category.</t>
  </si>
  <si>
    <t>API /projects, Category slug.</t>
  </si>
  <si>
    <t>Kiểm thử giao diện, 
Responsive.</t>
  </si>
  <si>
    <t>Security</t>
  </si>
  <si>
    <t>JWT Auth</t>
  </si>
  <si>
    <t>Quyền truy cập các API bảo mật (Private routes).</t>
  </si>
  <si>
    <t>Access token hết hạn, token bị sửa đổi, không có token.</t>
  </si>
  <si>
    <t>Kiểm thử tiêu cực 
(Negative).</t>
  </si>
  <si>
    <t>Auth Session</t>
  </si>
  <si>
    <t>Luồng làm mới Token (Refresh Token) khi Access Token hết hạn.</t>
  </si>
  <si>
    <t>Refresh Token hợp lệ/hết hạn.</t>
  </si>
  <si>
    <t>Luồng điều khiển 
(Control Flow).</t>
  </si>
  <si>
    <t>Functional</t>
  </si>
  <si>
    <t>User Profile</t>
  </si>
  <si>
    <t>Thay đổi thông tin cá nhân (Tên, Email, Liên kết ví).</t>
  </si>
  <si>
    <t>Input hợp lệ, Email đã tồn tại, Wallet sai định dạng.</t>
  </si>
  <si>
    <t>Phân vùng tương đương.</t>
  </si>
  <si>
    <t>Project Stats</t>
  </si>
  <si>
    <t>Hiển thị tiến độ và số tiền đạt được dựa trên Donations thực tế.</t>
  </si>
  <si>
    <t>Tổng amount thuộc project so với goal_amount.</t>
  </si>
  <si>
    <t>Đối chiếu dữ liệu 
(Data comparison).</t>
  </si>
  <si>
    <t>SQLi/XSS</t>
  </si>
  <si>
    <t>Khả năng chống các cuộc tấn công injection qua Form nhập liệu.</t>
  </si>
  <si>
    <t>Payload script, SQL command trong Search/Form.</t>
  </si>
  <si>
    <t>Penetration Test (Cơ bản).</t>
  </si>
  <si>
    <t>Responsive Design</t>
  </si>
  <si>
    <t>Khả năng hiển thị và tương tác trên các thiết bị Mobile/Tablet.</t>
  </si>
  <si>
    <t>Kích thước màn hình (Breakpoints: 375, 768, 1024).</t>
  </si>
  <si>
    <t>Kiểm thử khả năng hiển thị.</t>
  </si>
  <si>
    <t>Email Verification</t>
  </si>
  <si>
    <t>Luồng gửi mã OTP và xác thực qua email khi cập nhật thông tin.</t>
  </si>
  <si>
    <t>Mã OTP 6 chữ số, thời gian hết hạn (5 phút).</t>
  </si>
  <si>
    <t>Kiểm thử luồng thời 
gian thực.</t>
  </si>
  <si>
    <t>Performance</t>
  </si>
  <si>
    <t>API Load</t>
  </si>
  <si>
    <t>Thời gian phản hồi của trang Danh sách dự án dưới tải nhẹ.</t>
  </si>
  <si>
    <t>50 người dùng đồng thời truy cập trong 1 phút.</t>
  </si>
  <si>
    <t>Load testing (Cơ bản).</t>
  </si>
  <si>
    <t>Reliability</t>
  </si>
  <si>
    <t>Error Handling</t>
  </si>
  <si>
    <t>Xử lý lỗi khi API backend không phản hồi hoặc mất kết nối.</t>
  </si>
  <si>
    <t>Giả lập server down khi đang thực hiện giao dịch.</t>
  </si>
  <si>
    <t>Kiểm thử phục hồi 
(Recovery).</t>
  </si>
  <si>
    <t>Data Integrity</t>
  </si>
  <si>
    <t>Transaction Logs</t>
  </si>
  <si>
    <t>Đảm bảo mọi giao dịch đều log lại đầy đủ kể cả khi user hủy.</t>
  </si>
  <si>
    <t>Log chi tiết vnpay_return cho cả giao dịch thất bại.</t>
  </si>
  <si>
    <t>Kiểm duyệt Logs
 (Audit trail).</t>
  </si>
  <si>
    <t>BỘ TEST CASE</t>
  </si>
  <si>
    <t>Lưu ý</t>
  </si>
  <si>
    <t>Các test phi chức năng ưu tiên dùng công cụ tự động: Lighthouse, JMeter, OWASP ZAP, Playwright, Postman/Newman.</t>
  </si>
  <si>
    <t>TC ID</t>
  </si>
  <si>
    <t>Mức KT</t>
  </si>
  <si>
    <t>Tên test</t>
  </si>
  <si>
    <t>Tiền điều kiện</t>
  </si>
  <si>
    <t>Bước thực hiện</t>
  </si>
  <si>
    <t>Dữ liệu test</t>
  </si>
  <si>
    <t>Kết quả mong đợi</t>
  </si>
  <si>
    <t>Hình thức</t>
  </si>
  <si>
    <t>Kết quả</t>
  </si>
  <si>
    <t>TC01</t>
  </si>
  <si>
    <t>Đăng ký tài khoản hợp lệ</t>
  </si>
  <si>
    <t>Tạo được user mới với dữ liệu hợp lệ</t>
  </si>
  <si>
    <t>Chưa tồn tại email trong hệ thống</t>
  </si>
  <si>
    <t>1. Mở form đăng ký
2. Nhập họ tên, email, mật khẩu hợp lệ
3. Nhấn Đăng ký</t>
  </si>
  <si>
    <t>name=Nguyen A; email=nguyena@test.com; password=Abc@1234</t>
  </si>
  <si>
    <t>Thông báo đăng ký thành công; bản ghi user được tạo; role=user</t>
  </si>
  <si>
    <t>Manual</t>
  </si>
  <si>
    <t>UI + DB check</t>
  </si>
  <si>
    <t>Pass</t>
  </si>
  <si>
    <t>TC02</t>
  </si>
  <si>
    <t>Đăng ký với email trùng</t>
  </si>
  <si>
    <t>Chặn tạo tài khoản trùng email</t>
  </si>
  <si>
    <t>Email đã tồn tại</t>
  </si>
  <si>
    <t>1. Mở form đăng ký
2. Nhập email đã tồn tại
3. Nhấn Đăng ký</t>
  </si>
  <si>
    <t>email=existing@test.com</t>
  </si>
  <si>
    <t>Hệ thống báo email đã tồn tại; không tạo thêm user</t>
  </si>
  <si>
    <t>TC03</t>
  </si>
  <si>
    <t>Đăng nhập hợp lệ</t>
  </si>
  <si>
    <t>API xác thực đúng và frontend lưu JWT</t>
  </si>
  <si>
    <t>Tài khoản hợp lệ đã được tạo</t>
  </si>
  <si>
    <t>1. Mở form đăng nhập
2. Nhập email/mật khẩu đúng
3. Nhấn Đăng nhập</t>
  </si>
  <si>
    <t>existing@test.com / Abc@1234</t>
  </si>
  <si>
    <t>Đăng nhập thành công; nhận JWT; chuyển tới trang phù hợp</t>
  </si>
  <si>
    <t>Semi-auto</t>
  </si>
  <si>
    <t>Postman + UI</t>
  </si>
  <si>
    <t>TC04</t>
  </si>
  <si>
    <t>Đăng nhập sai mật khẩu</t>
  </si>
  <si>
    <t>Từ chối đăng nhập khi sai thông tin</t>
  </si>
  <si>
    <t>Tài khoản tồn tại</t>
  </si>
  <si>
    <t>1. Nhập email đúng
2. Nhập mật khẩu sai
3. Nhấn Đăng nhập</t>
  </si>
  <si>
    <t>existing@test.com / Sai123!</t>
  </si>
  <si>
    <t>Thông báo sai thông tin đăng nhập; không tạo phiên</t>
  </si>
  <si>
    <t>UI</t>
  </si>
  <si>
    <t>TC05</t>
  </si>
  <si>
    <t>User chưa đăng nhập truy cập lịch sử quyên góp</t>
  </si>
  <si>
    <t>Chặn truy cập trái phép trang yêu cầu đăng nhập</t>
  </si>
  <si>
    <t>Đã logout</t>
  </si>
  <si>
    <t>1. Truy cập URL /donation-history</t>
  </si>
  <si>
    <t>-</t>
  </si>
  <si>
    <t>Chuyển hướng đến đăng nhập hoặc báo chưa xác thực</t>
  </si>
  <si>
    <t>Browser</t>
  </si>
  <si>
    <t>TC06</t>
  </si>
  <si>
    <t>Chiến dịch</t>
  </si>
  <si>
    <t>Hiển thị danh sách chiến dịch</t>
  </si>
  <si>
    <t>Hiển thị đúng danh sách chiến dịch công khai</t>
  </si>
  <si>
    <t>Có dữ liệu campaign mẫu</t>
  </si>
  <si>
    <t>1. Mở trang chiến dịch</t>
  </si>
  <si>
    <t>Danh sách hiển thị đúng title, tiến độ, trạng thái hiển thị cho user</t>
  </si>
  <si>
    <t>TC07</t>
  </si>
  <si>
    <t>Xem chi tiết chiến dịch hợp lệ</t>
  </si>
  <si>
    <t>Hiển thị đủ thông tin của 1 campaign</t>
  </si>
  <si>
    <t>Campaign đang hoạt động tồn tại</t>
  </si>
  <si>
    <t>1. Nhấn vào 1 campaign từ danh sách</t>
  </si>
  <si>
    <t>campaign_id hợp lệ</t>
  </si>
  <si>
    <t>Hiển thị mô tả, ảnh, mục tiêu, đã quyên góp, thời gian</t>
  </si>
  <si>
    <t>TC08</t>
  </si>
  <si>
    <t>Mở chi tiết với campaign_id không tồn tại</t>
  </si>
  <si>
    <t>Xử lý lỗi tài nguyên không tồn tại</t>
  </si>
  <si>
    <t>Không có campaign_id đó</t>
  </si>
  <si>
    <t>1. Truy cập URL chi tiết với id sai</t>
  </si>
  <si>
    <t>campaign_id=999999</t>
  </si>
  <si>
    <t>Hiển thị 404/thông báo phù hợp; không vỡ giao diện</t>
  </si>
  <si>
    <t>TC09</t>
  </si>
  <si>
    <t>Quản trị chiến dịch</t>
  </si>
  <si>
    <t>Admin tạo chiến dịch mới</t>
  </si>
  <si>
    <t>Tạo mới thành công qua UI -&gt; API -&gt; DB</t>
  </si>
  <si>
    <t>Admin đã đăng nhập</t>
  </si>
  <si>
    <t>1. Vào trang admin campaign
2. Nhấn Tạo mới
3. Nhập dữ liệu hợp lệ
4. Lưu</t>
  </si>
  <si>
    <t>title, target_amount, dates hợp lệ</t>
  </si>
  <si>
    <t>Campaign được tạo và xuất hiện ở danh sách admin</t>
  </si>
  <si>
    <t>TC10</t>
  </si>
  <si>
    <t>Admin sửa chiến dịch</t>
  </si>
  <si>
    <t>Cập nhật campaign đúng và đồng bộ giao diện người dùng</t>
  </si>
  <si>
    <t>Admin đã đăng nhập; campaign tồn tại</t>
  </si>
  <si>
    <t>1. Chọn campaign
2. Cập nhật mô tả/target
3. Lưu</t>
  </si>
  <si>
    <t>target_amount mới</t>
  </si>
  <si>
    <t>Dữ liệu cập nhật thành công, hiển thị đúng ở detail</t>
  </si>
  <si>
    <t>TC11</t>
  </si>
  <si>
    <t>Ẩn chiến dịch khỏi danh sách user</t>
  </si>
  <si>
    <t>Campaign hidden không hiển thị cho user công khai</t>
  </si>
  <si>
    <t>1. Admin ẩn campaign
2. Mở trang user</t>
  </si>
  <si>
    <t>Campaign không còn trong danh sách user</t>
  </si>
  <si>
    <t>Fail</t>
  </si>
  <si>
    <t>TC12</t>
  </si>
  <si>
    <t>User thường truy cập trang admin</t>
  </si>
  <si>
    <t>Chặn truy cập trang admin với role user</t>
  </si>
  <si>
    <t>Đăng nhập bằng tài khoản user thường</t>
  </si>
  <si>
    <t>1. Truy cập /admin</t>
  </si>
  <si>
    <t>Nhận 403 hoặc chuyển hướng; không hiển thị dữ liệu admin</t>
  </si>
  <si>
    <t>TC13</t>
  </si>
  <si>
    <t>Tạo donation + transaction success và cập nhật current_amount</t>
  </si>
  <si>
    <t>User đã đăng nhập; campaign active</t>
  </si>
  <si>
    <t>1. Mở chi tiết chiến dịch
2. Nhập số tiền hợp lệ
3. Xác nhận thanh toán mô phỏng thành công</t>
  </si>
  <si>
    <t>amount=100000</t>
  </si>
  <si>
    <t>Donation/transaction được tạo; current_amount tăng 100000; thông báo thành công</t>
  </si>
  <si>
    <t>TC14</t>
  </si>
  <si>
    <t>Quyên góp với số tiền = 0</t>
  </si>
  <si>
    <t>Chặn dữ liệu số tiền không hợp lệ</t>
  </si>
  <si>
    <t>User đã đăng nhập</t>
  </si>
  <si>
    <t>1. Nhập số tiền 0
2. Nhấn Quyên góp</t>
  </si>
  <si>
    <t>amount=0</t>
  </si>
  <si>
    <t>Thông báo lỗi validate; không gọi giao dịch</t>
  </si>
  <si>
    <t>TC15</t>
  </si>
  <si>
    <t>Quyên góp cho chiến dịch đã kết thúc</t>
  </si>
  <si>
    <t>Không cho phép donate khi campaign ended</t>
  </si>
  <si>
    <t>Có campaign ended</t>
  </si>
  <si>
    <t>1. Mở campaign đã kết thúc
2. Thử donate</t>
  </si>
  <si>
    <t>amount=50000</t>
  </si>
  <si>
    <t>Nút donate bị khóa hoặc API từ chối</t>
  </si>
  <si>
    <t>TC16</t>
  </si>
  <si>
    <t>Giao dịch thất bại không cộng current_amount</t>
  </si>
  <si>
    <t>Đảm bảo toàn vẹn khi thanh toán thất bại</t>
  </si>
  <si>
    <t>1. Thực hiện donate
2. Mô phỏng payment failed</t>
  </si>
  <si>
    <t>amount=150000</t>
  </si>
  <si>
    <t>Transaction=failed; current_amount không đổi</t>
  </si>
  <si>
    <t>Postman + DB check</t>
  </si>
  <si>
    <t>TC17</t>
  </si>
  <si>
    <t>Xem lịch sử của chính mình</t>
  </si>
  <si>
    <t>Hiển thị đúng các khoản donate của user hiện tại</t>
  </si>
  <si>
    <t>User đã có donation</t>
  </si>
  <si>
    <t>1. Đăng nhập user A
2. Mở lịch sử</t>
  </si>
  <si>
    <t>Chỉ thấy donation của user A với số tiền/thời gian đúng</t>
  </si>
  <si>
    <t>TC18</t>
  </si>
  <si>
    <t>Dashboard</t>
  </si>
  <si>
    <t>Đối soát tổng tiền quyên góp</t>
  </si>
  <si>
    <t>Thống kê admin khớp dữ liệu donations/transactions success</t>
  </si>
  <si>
    <t>Admin login; DB có dữ liệu mẫu</t>
  </si>
  <si>
    <t>1. Mở dashboard
2. So sánh với query DB</t>
  </si>
  <si>
    <t>Tổng tiền, số lượt donate, số campaign khớp DB</t>
  </si>
  <si>
    <t>DB query + UI</t>
  </si>
  <si>
    <t>TC19</t>
  </si>
  <si>
    <t>Phiên làm việc</t>
  </si>
  <si>
    <t>Đăng xuất</t>
  </si>
  <si>
    <t>Xóa token/phiên và chặn truy cập lại trang bảo vệ</t>
  </si>
  <si>
    <t>User đang đăng nhập</t>
  </si>
  <si>
    <t>1. Nhấn Đăng xuất
2. Truy cập lại /donation-history</t>
  </si>
  <si>
    <t>Token bị xóa; người dùng bị chuyển hướng về đăng nhập</t>
  </si>
  <si>
    <t>TC20</t>
  </si>
  <si>
    <t>Giao diện</t>
  </si>
  <si>
    <t>Responsive trang chủ</t>
  </si>
  <si>
    <t>Bố cục không vỡ ở mobile/tablet/desktop</t>
  </si>
  <si>
    <t>Site chạy ổn định</t>
  </si>
  <si>
    <t>1. Mở trang chủ với viewport 375px, 768px, 1440px
2. Quan sát bố cục</t>
  </si>
  <si>
    <t>Không chồng chéo, không tràn chữ/nút, CTA rõ ràng</t>
  </si>
  <si>
    <t>Auto</t>
  </si>
  <si>
    <t>Playwright</t>
  </si>
  <si>
    <t>TC21</t>
  </si>
  <si>
    <t>Thông báo lỗi form đăng nhập/đăng ký</t>
  </si>
  <si>
    <t>Thông báo hiển thị gần trường lỗi và dễ hiểu</t>
  </si>
  <si>
    <t>Mở form auth</t>
  </si>
  <si>
    <t>1. Bỏ trống các trường
2. Submit form</t>
  </si>
  <si>
    <t>Thông báo lỗi hiển thị đúng vị trí, nội dung rõ ràng</t>
  </si>
  <si>
    <t>TC22</t>
  </si>
  <si>
    <t>Loading/empty state trang chiến dịch</t>
  </si>
  <si>
    <t>Xử lý tốt khi chờ dữ liệu hoặc không có dữ liệu</t>
  </si>
  <si>
    <t>Có thể mock API trống/chậm</t>
  </si>
  <si>
    <t>1. Mô phỏng API chậm/trả danh sách rỗng
2. Mở trang chiến dịch</t>
  </si>
  <si>
    <t>Hiển thị loading/empty state hợp lý; không trang trắng</t>
  </si>
  <si>
    <t>TC23</t>
  </si>
  <si>
    <t>Phi chức năng - Accessibility</t>
  </si>
  <si>
    <t>Audit accessibility trang chủ</t>
  </si>
  <si>
    <t>Đạt điểm accessibility chấp nhận được</t>
  </si>
  <si>
    <t>1. Chạy Lighthouse cho trang chủ</t>
  </si>
  <si>
    <t>Ngưỡng mục tiêu &gt;= 85</t>
  </si>
  <si>
    <t>Điểm accessibility đạt ngưỡng; không có lỗi nghiêm trọng về contrast/label</t>
  </si>
  <si>
    <t>Lighthouse</t>
  </si>
  <si>
    <t>TC24</t>
  </si>
  <si>
    <t>Phi chức năng - Hiệu năng FE</t>
  </si>
  <si>
    <t>Audit performance trang chiến dịch</t>
  </si>
  <si>
    <t>Đo performance cơ bản cho trang campaign</t>
  </si>
  <si>
    <t>Build tối ưu; cache browser sạch</t>
  </si>
  <si>
    <t>1. Chạy Lighthouse trên trang campaign</t>
  </si>
  <si>
    <t>Ngưỡng mục tiêu &gt;= 75</t>
  </si>
  <si>
    <t>Điểm performance đạt mục tiêu; chỉ số chính không vượt ngưỡng nghiêm trọng</t>
  </si>
  <si>
    <t>TC25</t>
  </si>
  <si>
    <t>Phi chức năng - Hiệu năng API</t>
  </si>
  <si>
    <t>Load test API danh sách chiến dịch</t>
  </si>
  <si>
    <t>Đánh giá response time và error rate khi tải đồng thời</t>
  </si>
  <si>
    <t>1. Chạy JMeter 50 user đồng thời trong 5 phút vào GET /campaigns</t>
  </si>
  <si>
    <t>50 VU; ramp-up 60s</t>
  </si>
  <si>
    <t>95% response time &lt; 2s; error rate &lt; 2%</t>
  </si>
  <si>
    <t>TC26</t>
  </si>
  <si>
    <t>Phi chức năng - Bảo mật</t>
  </si>
  <si>
    <t>Quét lỗ hổng cơ bản</t>
  </si>
  <si>
    <t>Phát hiện cảnh báo bảo mật với auth/campaign endpoints</t>
  </si>
  <si>
    <t>Staging mở cho scanner</t>
  </si>
  <si>
    <t>1. Chạy OWASP ZAP baseline scan</t>
  </si>
  <si>
    <t>Scope: /auth, /campaigns, /donations</t>
  </si>
  <si>
    <t>Không còn cảnh báo High; Medium có đánh giá</t>
  </si>
  <si>
    <t>OWASP ZAP</t>
  </si>
  <si>
    <t>TC27</t>
  </si>
  <si>
    <t>JWT giả mạo/hết hạn</t>
  </si>
  <si>
    <t>Từ chối token giả hoặc expired</t>
  </si>
  <si>
    <t>Có token hợp lệ và token đã sửa</t>
  </si>
  <si>
    <t>1. Gửi request với token bị sửa hoặc expired</t>
  </si>
  <si>
    <t>Authorization: Bearer &lt;tampered&gt;</t>
  </si>
  <si>
    <t>API trả 401/403; không trả dữ liệu nhạy cảm</t>
  </si>
  <si>
    <t>TC28</t>
  </si>
  <si>
    <t>Phi chức năng - An toàn đầu vào</t>
  </si>
  <si>
    <t>Payload SQL Injection ở đăng nhập</t>
  </si>
  <si>
    <t>Không để truy vấn đăng nhập bị bypass</t>
  </si>
  <si>
    <t>Endpoint login hoạt động</t>
  </si>
  <si>
    <t>1. Gửi payload dạng ' OR '1'='1
2. Quan sát phản hồi</t>
  </si>
  <si>
    <t>email=' OR '1'='1; password=abc</t>
  </si>
  <si>
    <t>Đăng nhập thất bại; không có lỗi SQL lộ ra</t>
  </si>
  <si>
    <t>TC29</t>
  </si>
  <si>
    <t>Upload ảnh chiến dịch sai định dạng</t>
  </si>
  <si>
    <t>Chỉ chấp nhận file ảnh hợp lệ</t>
  </si>
  <si>
    <t>Admin login; có chức năng upload ảnh</t>
  </si>
  <si>
    <t>1. Upload file .exe/.txt thay vì ảnh</t>
  </si>
  <si>
    <t>file=malware.exe</t>
  </si>
  <si>
    <t>Hệ thống từ chối upload; không lưu file</t>
  </si>
  <si>
    <t>Not Run</t>
  </si>
  <si>
    <t>TC30</t>
  </si>
  <si>
    <t>Phi chức năng - Tương thích</t>
  </si>
  <si>
    <t>Smoke test Chrome/Edge</t>
  </si>
  <si>
    <t>Luồng chính hoạt động trên Chrome và Edge</t>
  </si>
  <si>
    <t>Trình duyệt đã cài</t>
  </si>
  <si>
    <t>1. Chạy smoke test đăng nhập -&gt; xem campaign -&gt; donate giả lập</t>
  </si>
  <si>
    <t>Chrome, Edge</t>
  </si>
  <si>
    <t>Không có lỗi hiển thị/chức năng nghiêm trọng giữa 2 trình duyệt</t>
  </si>
  <si>
    <t>TC31</t>
  </si>
  <si>
    <t>Phi chức năng - Phiên làm việc</t>
  </si>
  <si>
    <t>Token hết hạn</t>
  </si>
  <si>
    <t>Người dùng bị yêu cầu đăng nhập lại khi token hết hạn</t>
  </si>
  <si>
    <t>Có token TTL ngắn hoặc token expired</t>
  </si>
  <si>
    <t>1. Sử dụng token hết hạn
2. Truy cập API bảo vệ</t>
  </si>
  <si>
    <t>expired token</t>
  </si>
  <si>
    <t>API trả 401; frontend đưa về trang đăng nhập</t>
  </si>
  <si>
    <t>TC32</t>
  </si>
  <si>
    <t>Phi chức năng - Khả dụng</t>
  </si>
  <si>
    <t>Chạy smoke test end-to-end sau khi fix lỗi</t>
  </si>
  <si>
    <t>Đánh giá nhanh khả năng sẵn sàng demo</t>
  </si>
  <si>
    <t>Có build sau fix</t>
  </si>
  <si>
    <t>1. Chạy chuỗi đăng nhập -&gt; campaign -&gt; donate -&gt; history -&gt; admin dashboard</t>
  </si>
  <si>
    <t>Toàn bộ luồng chính chạy trơn tru</t>
  </si>
  <si>
    <t>TC33</t>
  </si>
  <si>
    <t>Admin xem danh sách người dùng</t>
  </si>
  <si>
    <t>Frontend gọi API và hiển thị danh sách đúng</t>
  </si>
  <si>
    <t>Admin đã đăng nhập; DB có user mẫu</t>
  </si>
  <si>
    <t>1. Mở trang quản lý user</t>
  </si>
  <si>
    <t>Danh sách người dùng hiển thị đầy đủ tên/email/role</t>
  </si>
  <si>
    <t>TC34</t>
  </si>
  <si>
    <t>Phi chức năng - Log/giám sát</t>
  </si>
  <si>
    <t>Kiểm tra log lỗi API khi request không hợp lệ</t>
  </si>
  <si>
    <t>Hệ thống ghi log đủ để truy vết</t>
  </si>
  <si>
    <t>Có quyền xem log test</t>
  </si>
  <si>
    <t>1. Gửi request sai schema
2. Kiểm tra log server</t>
  </si>
  <si>
    <t>payload thiếu trường bắt buộc</t>
  </si>
  <si>
    <t>Log ghi nhận thời gian, endpoint, mã lỗi; không lộ mật khẩu/token</t>
  </si>
  <si>
    <t>Log server</t>
  </si>
  <si>
    <t>TC35</t>
  </si>
  <si>
    <t>Validate trường bắt buộc khi tạo campaign</t>
  </si>
  <si>
    <t>Không cho lưu campaign thiếu title/target/date</t>
  </si>
  <si>
    <t>1. Mở form tạo campaign
2. Bỏ trống trường bắt buộc
3. Lưu</t>
  </si>
  <si>
    <t>title trống; target_amount trống</t>
  </si>
  <si>
    <t>Thông báo lỗi rõ ràng; không tạo dữ liệu</t>
  </si>
  <si>
    <t>Tạo vault cho project hợp lệ</t>
  </si>
  <si>
    <t>Verify Factory.createVault deploy đúng vault</t>
  </si>
  <si>
    <t>Contract deployed; operator account sẵn sàng</t>
  </si>
  <si>
    <t>1. Operator gọi createVault(projectId=1, founder, adminSigner, metaHash)</t>
  </si>
  <si>
    <t>projectId=1; founder=0xFounder; adminSigner=0xAdmin; metaHash=0xabc</t>
  </si>
  <si>
    <t>Vault deployed thành công; event VaultCreated phát ra; vaults[1] trả địa chỉ vault; totalVaults() = 1</t>
  </si>
  <si>
    <t>Hardhat</t>
  </si>
  <si>
    <t>Tạo vault cho projectId đã tồn tại</t>
  </si>
  <si>
    <t>Chặn tạo vault trùng</t>
  </si>
  <si>
    <t>Vault cho projectId=1 đã tồn tại</t>
  </si>
  <si>
    <t>1. Gọi createVault(projectId=1, ...) lần 2</t>
  </si>
  <si>
    <t>projectId=1 (đã có vault)</t>
  </si>
  <si>
    <t>Revert "Vault already exists for this project"</t>
  </si>
  <si>
    <t>Người không phải operator tạo vault</t>
  </si>
  <si>
    <t>Chỉ operator được tạo vault</t>
  </si>
  <si>
    <t>Dùng account không phải operator</t>
  </si>
  <si>
    <t>1. Từ account khác, gọi createVault(...)</t>
  </si>
  <si>
    <t>account = user thường</t>
  </si>
  <si>
    <t>Revert "Caller is not the operator"</t>
  </si>
  <si>
    <t>Tạo vault với founder = address(0)</t>
  </si>
  <si>
    <t>Validate địa chỉ đầu vào</t>
  </si>
  <si>
    <t>Contract đã deploy</t>
  </si>
  <si>
    <t>1. Gọi createVault(..., founder=address(0), ...)</t>
  </si>
  <si>
    <t>founder = 0x0000...0000</t>
  </si>
  <si>
    <t>Revert "Invalid founder address"</t>
  </si>
  <si>
    <t>Verify setOperator hoạt động</t>
  </si>
  <si>
    <t>Operator hiện tại gọi</t>
  </si>
  <si>
    <t>1. Gọi setOperator(newOperator) 2. Kiểm tra biến operator</t>
  </si>
  <si>
    <t>newOperator = 0xNewOp</t>
  </si>
  <si>
    <t>operator == newOperator; event OperatorChanged phát ra</t>
  </si>
  <si>
    <t>Donate token hợp lệ vào vault</t>
  </si>
  <si>
    <t>Verify donate thành công</t>
  </si>
  <si>
    <t>Vault deployed; user có USDT; đã approve token cho vault</t>
  </si>
  <si>
    <t>1. User approve vault spend USDT 2. Gọi vault.donate(1e18)</t>
  </si>
  <si>
    <t>amount = 1 USDT (1e18 wei)</t>
  </si>
  <si>
    <t>Token chuyển vào vault; totalDonated += 1e18; event Donated phát ra</t>
  </si>
  <si>
    <t>Donate dưới mức tối thiểu</t>
  </si>
  <si>
    <t>Chặn donate &lt; MIN_DONATION</t>
  </si>
  <si>
    <t>Vault deployed</t>
  </si>
  <si>
    <t>1. Gọi vault.donate(1e16)</t>
  </si>
  <si>
    <t>amount = 0.01 USDT (1e16 wei)</t>
  </si>
  <si>
    <t>Revert "Amount below minimum donation"</t>
  </si>
  <si>
    <t>Donate đúng mức tối thiểu (boundary)</t>
  </si>
  <si>
    <t>Verify giá trị biên MIN_DONATION</t>
  </si>
  <si>
    <t>Vault deployed; user có USDT</t>
  </si>
  <si>
    <t>1. Gọi vault.donate(1e17)</t>
  </si>
  <si>
    <t>amount = 0.1 USDT (1e17 wei) = MIN_DONATION</t>
  </si>
  <si>
    <t>Donate thành công; totalDonated += 1e17</t>
  </si>
  <si>
    <t>Founder claim với signature hợp lệ</t>
  </si>
  <si>
    <t>Verify claim EIP-712 end-to-end</t>
  </si>
  <si>
    <t>Vault có balance &gt;= amount; admin đã ký</t>
  </si>
  <si>
    <t>1. Admin ký EIP-712 (projectId, founder, amount, nonce, deadline) 2. Founder gọi claim(amount, nonce, deadline, signature)</t>
  </si>
  <si>
    <t>amount=5e18; nonce=1; deadline=future</t>
  </si>
  <si>
    <t>Token chuyển cho founder; totalClaimed += 5e18; usedNonce[1]=true; event Claimed</t>
  </si>
  <si>
    <t>Claim với nonce đã sử dụng (replay attack)</t>
  </si>
  <si>
    <t>Chống replay attack</t>
  </si>
  <si>
    <t>Nonce=1 đã dùng ở TC09</t>
  </si>
  <si>
    <t>1. Gọi claim(..., nonce=1, ...) lần 2 với cùng tham số</t>
  </si>
  <si>
    <t>nonce=1 (đã dùng)</t>
  </si>
  <si>
    <t>Revert "Nonce already used"</t>
  </si>
  <si>
    <t>Claim khi signature hết hạn</t>
  </si>
  <si>
    <t>Verify deadline check</t>
  </si>
  <si>
    <t>Vault có balance</t>
  </si>
  <si>
    <t>1. Tạo signature với deadline = block.timestamp - 1 2. Gọi claim</t>
  </si>
  <si>
    <t>deadline đã quá hạn</t>
  </si>
  <si>
    <t>Revert "Signature expired"</t>
  </si>
  <si>
    <t>Claim với signature sai admin</t>
  </si>
  <si>
    <t>Verify EIP-712 signer check</t>
  </si>
  <si>
    <t>1. Ký bằng account không phải adminSigner 2. Gọi claim</t>
  </si>
  <si>
    <t>signature từ random account</t>
  </si>
  <si>
    <t>Revert "Invalid signature"</t>
  </si>
  <si>
    <t>Người không phải founder gọi claim</t>
  </si>
  <si>
    <t>Chỉ founder được claim</t>
  </si>
  <si>
    <t>Vault có balance; signature hợp lệ</t>
  </si>
  <si>
    <t>1. Từ account khác founder, gọi claim(...)</t>
  </si>
  <si>
    <t>msg.sender ≠ founder</t>
  </si>
  <si>
    <t>Revert "Caller is not the founder"</t>
  </si>
  <si>
    <t>Claim khi vault không đủ balance</t>
  </si>
  <si>
    <t>Verify balance check</t>
  </si>
  <si>
    <t>Vault balance &lt; amount yêu cầu</t>
  </si>
  <si>
    <t>1. Gọi claim(amount=100e18, ...) khi balance chỉ có 5e18</t>
  </si>
  <si>
    <t>amount=100e18 &gt; vaultBalance</t>
  </si>
  <si>
    <t>Revert "Insufficient vault balance"</t>
  </si>
  <si>
    <t>Pause rồi thử donate</t>
  </si>
  <si>
    <t>Verify Pausable chặn donate</t>
  </si>
  <si>
    <t>AdminSigner gọi pause() thành công</t>
  </si>
  <si>
    <t>1. adminSigner gọi pause() 2. User gọi donate(1e18)</t>
  </si>
  <si>
    <t>donate() revert (Pausable: paused)</t>
  </si>
  <si>
    <t>Unpause rồi donate bình thường</t>
  </si>
  <si>
    <t>Verify unpause khôi phục</t>
  </si>
  <si>
    <t>Contract đang paused</t>
  </si>
  <si>
    <t>1. adminSigner gọi unpause() 2. User gọi donate(1e18)</t>
  </si>
  <si>
    <t>amount = 1e18</t>
  </si>
  <si>
    <t>Donate thành công; totalDonated tăng</t>
  </si>
  <si>
    <t>Thay đổi adminSigner</t>
  </si>
  <si>
    <t>Verify setAdminSigner</t>
  </si>
  <si>
    <t>AdminSigner hiện tại gọi</t>
  </si>
  <si>
    <t>1. adminSigner gọi setAdminSigner(newSigner)</t>
  </si>
  <si>
    <t>newSigner = 0xNewAdmin</t>
  </si>
  <si>
    <t>adminSigner == newSigner; event AdminSignerChanged</t>
  </si>
  <si>
    <t>Đăng nhập wallet lần đầu</t>
  </si>
  <si>
    <t>Tạo user mới + trả JWT</t>
  </si>
  <si>
    <t>Wallet chưa tồn tại trong DB</t>
  </si>
  <si>
    <t>1. POST /auth/wallet/login {walletAddress: "0xNewUser001"} 2. Kiểm tra DB</t>
  </si>
  <si>
    <t>walletAddress = "0xNewUser001"</t>
  </si>
  <si>
    <t>Status 200; trả JWT; user mới tạo trong DB; role=USER; linked_wallet = "0xNewUser001"</t>
  </si>
  <si>
    <t>Postman + DB</t>
  </si>
  <si>
    <t>Đăng nhập wallet đã tồn tại</t>
  </si>
  <si>
    <t>Tìm user cũ, không tạo mới</t>
  </si>
  <si>
    <t>Wallet đã có trong DB</t>
  </si>
  <si>
    <t>1. POST /auth/wallet/login {walletAddress: "0xExistingUser"} 2. Kiểm tra DB</t>
  </si>
  <si>
    <t>walletAddress đã đăng ký</t>
  </si>
  <si>
    <t>Status 200; trả JWT; số lượng user trong DB không tăng; trả đúng role</t>
  </si>
  <si>
    <t>Đăng nhập wallet rỗng</t>
  </si>
  <si>
    <t>Validate đầu vào</t>
  </si>
  <si>
    <t>1. POST /auth/wallet/login {walletAddress: ""}</t>
  </si>
  <si>
    <t>walletAddress = "" hoặc null</t>
  </si>
  <si>
    <t>Status 400; thông báo lỗi validation; không tạo user</t>
  </si>
  <si>
    <t>Postman</t>
  </si>
  <si>
    <t>Xem profile cá nhân</t>
  </si>
  <si>
    <t>Trả đúng thông tin user</t>
  </si>
  <si>
    <t>User đã đăng nhập, có JWT</t>
  </si>
  <si>
    <t>1. GET /users/me với Authorization: Bearer &lt;JWT\&gt;</t>
  </si>
  <si>
    <t>JWT hợp lệ</t>
  </si>
  <si>
    <t>Status 200; trả id, email, name, role, linked_wallet, is_verified</t>
  </si>
  <si>
    <t>Cập nhật profile</t>
  </si>
  <si>
    <t>Update name thành công</t>
  </si>
  <si>
    <t>1. PUT /users/me {name: "Nguyen Van A"} 2. Kiểm tra DB</t>
  </si>
  <si>
    <t>name = "Nguyen Van A"</t>
  </si>
  <si>
    <t>Status 200; DB cập nhật name; response trả dữ liệu mới</t>
  </si>
  <si>
    <t>Gửi OTP + xác thực đúng</t>
  </si>
  <si>
    <t>Verify tài khoản thành công</t>
  </si>
  <si>
    <t>User is_verified = 0</t>
  </si>
  <si>
    <t>1. POST /users/send-verification-otp 2. Lấy OTP 3. POST /users/verify-otp {otp}</t>
  </si>
  <si>
    <t>OTP đúng</t>
  </si>
  <si>
    <t>Status 200; is_verified = 1 trong DB</t>
  </si>
  <si>
    <t>Xác thực OTP sai</t>
  </si>
  <si>
    <t>Từ chối OTP không hợp lệ</t>
  </si>
  <si>
    <t>Đã gửi OTP</t>
  </si>
  <si>
    <t>1. POST /users/verify-otp {otp: "000000"}</t>
  </si>
  <si>
    <t>otp = "000000" (sai)</t>
  </si>
  <si>
    <t>Status 400; is_verified vẫn = 0</t>
  </si>
  <si>
    <t>Không lộ dữ liệu nhạy cảm</t>
  </si>
  <si>
    <t>User tồn tại trong DB</t>
  </si>
  <si>
    <t>1. GET /users/:userId/profile</t>
  </si>
  <si>
    <t>userId = 1</t>
  </si>
  <si>
    <t>Status 200; trả name, role; KHÔNG trả email, google_sub</t>
  </si>
  <si>
    <t>Xem lịch sử donate của user</t>
  </si>
  <si>
    <t>Hiển thị đúng donations</t>
  </si>
  <si>
    <t>User có donation records</t>
  </si>
  <si>
    <t>1. GET /users/:userId/donations</t>
  </si>
  <si>
    <t>userId có donations</t>
  </si>
  <si>
    <t>Status 200; trả mảng donations đúng user_id</t>
  </si>
  <si>
    <t>Xem donations của project có dữ liệu</t>
  </si>
  <si>
    <t>API trả đúng danh sách</t>
  </si>
  <si>
    <t>Project tồn tại; có donations</t>
  </si>
  <si>
    <t>1. GET /projects/:id/donations 2. So sánh với DB</t>
  </si>
  <si>
    <t>project_id có donations</t>
  </si>
  <si>
    <t>Status 200; trả mảng donations gồm donor, amount, status, created_at; khớp DB</t>
  </si>
  <si>
    <t>Xem donations project không tồn tại</t>
  </si>
  <si>
    <t>Xử lý tài nguyên không tồn tại</t>
  </si>
  <si>
    <t>1. GET /projects/999999/donations</t>
  </si>
  <si>
    <t>project_id = 999999</t>
  </si>
  <si>
    <t>Status 404 hoặc mảng rỗng; server không crash</t>
  </si>
  <si>
    <t>Donate crypto thành công (end-to-end)</t>
  </si>
  <si>
    <t>Tạo donation + on-chain + confirm</t>
  </si>
  <si>
    <t>User đăng nhập; project PUBLISHED có vault; user có USDT</t>
  </si>
  <si>
    <t>1. POST /donations/projects/:projectId/donate {amount, donation_type:"CRYPTO"} 2. Gọi contract vault.donate(amount) 3. POST /donations/:id/confirm-crypto {txHash}</t>
  </si>
  <si>
    <t>amount=1 USDT; txHash = hash giao dịch thật</t>
  </si>
  <si>
    <t>Donation PENDING → CONFIRMED; on-chain totalDonated tăng; DB amount đúng</t>
  </si>
  <si>
    <t>Postman + Hardhat</t>
  </si>
  <si>
    <t>Donate cho project không có vault</t>
  </si>
  <si>
    <t>Chặn donate khi chưa có vault</t>
  </si>
  <si>
    <t>Project tồn tại nhưng vault_address = NULL</t>
  </si>
  <si>
    <t>1. POST /donations/projects/:projectId/donate</t>
  </si>
  <si>
    <t>projectId không có vault</t>
  </si>
  <si>
    <t>Status 400; thông báo lỗi; không tạo donation</t>
  </si>
  <si>
    <t>Confirm crypto với tx hash không hợp lệ</t>
  </si>
  <si>
    <t>Từ chối tx hash sai</t>
  </si>
  <si>
    <t>Donation PENDING tồn tại</t>
  </si>
  <si>
    <t>1. POST /donations/:id/confirm-crypto {txHash: "0xinvalid"}</t>
  </si>
  <si>
    <t>txHash = "0xinvalid"</t>
  </si>
  <si>
    <t>Status 400; donation status vẫn PENDING</t>
  </si>
  <si>
    <t>Donate khi chưa đăng nhập</t>
  </si>
  <si>
    <t>Chặn truy cập trái phép</t>
  </si>
  <si>
    <t>Không có JWT</t>
  </si>
  <si>
    <t>1. POST /donations/projects/:projectId/donate (không Authorization header)</t>
  </si>
  <si>
    <t>Status 401 Unauthorized</t>
  </si>
  <si>
    <t>Tạo withdraw request CRYPTO hợp lệ</t>
  </si>
  <si>
    <t>Tạo request + gửi email</t>
  </si>
  <si>
    <t>Founder đăng nhập; project có vault và balance</t>
  </si>
  <si>
    <t>1. POST /withdraw-requests {project_id, amount:50, type:"CRYPTO"} 2. Kiểm tra DB + email</t>
  </si>
  <si>
    <t>amount=50; type=CRYPTO</t>
  </si>
  <si>
    <t>Status 201; record status=PENDING_EMAIL; verification_token tạo; email gửi</t>
  </si>
  <si>
    <t>Tạo withdraw amount &gt; balance</t>
  </si>
  <si>
    <t>Chặn rút quá số dư</t>
  </si>
  <si>
    <t>Founder đăng nhập; vault balance &lt; amount</t>
  </si>
  <si>
    <t>1. POST /withdraw-requests {amount: 999999}</t>
  </si>
  <si>
    <t>amount=999999</t>
  </si>
  <si>
    <t>Status 400; thông báo không đủ số dư; không tạo record</t>
  </si>
  <si>
    <t>Verify email withdraw đúng token</t>
  </si>
  <si>
    <t>PENDING_EMAIL → PENDING</t>
  </si>
  <si>
    <t>Withdraw request PENDING_EMAIL tồn tại</t>
  </si>
  <si>
    <t>1. GET /withdraw-requests/verify?token=&lt;validToken\&gt; 2. Kiểm tra DB</t>
  </si>
  <si>
    <t>verification_token hợp lệ</t>
  </si>
  <si>
    <t>Status 200; status chuyển sang PENDING</t>
  </si>
  <si>
    <t>TC36</t>
  </si>
  <si>
    <t>Verify email với token sai</t>
  </si>
  <si>
    <t>Từ chối token không hợp lệ</t>
  </si>
  <si>
    <t>1. GET /withdraw-requests/verify?token=abc123invalid</t>
  </si>
  <si>
    <t>token sai</t>
  </si>
  <si>
    <t>Status 400; status không đổi</t>
  </si>
  <si>
    <t>TC37</t>
  </si>
  <si>
    <t>Gửi claim tx hash sau approved</t>
  </si>
  <si>
    <t>Hoàn tất luồng rút tiền</t>
  </si>
  <si>
    <t>Withdraw request APPROVED; founder đã claim on-chain</t>
  </si>
  <si>
    <t>1. POST /withdraw-requests/claim {withdraw_request_id, txHash} 2. Kiểm tra DB</t>
  </si>
  <si>
    <t>txHash = hash claim trên blockchain</t>
  </si>
  <si>
    <t>Status 200; status → CLAIMED; onchain_claims record tạo</t>
  </si>
  <si>
    <t>TC38</t>
  </si>
  <si>
    <t>Xem số dư có thể rút</t>
  </si>
  <si>
    <t>Hiển thị balance khả dụng</t>
  </si>
  <si>
    <t>Founder có project với vault</t>
  </si>
  <si>
    <t>1. GET /withdraw-requests/balance</t>
  </si>
  <si>
    <t>Status 200; balance = vault balance - pending withdrawals</t>
  </si>
  <si>
    <t>TC39</t>
  </si>
  <si>
    <t>User thường tạo withdraw</t>
  </si>
  <si>
    <t>Chặn phân quyền</t>
  </si>
  <si>
    <t>Đăng nhập bằng USER (không phải Founder)</t>
  </si>
  <si>
    <t>1. POST /withdraw-requests với JWT của user thường</t>
  </si>
  <si>
    <t>role = USER</t>
  </si>
  <si>
    <t>Status 403 Forbidden</t>
  </si>
  <si>
    <t>TC40</t>
  </si>
  <si>
    <t>Admin approve withdraw request</t>
  </si>
  <si>
    <t>Duyệt + ký EIP-712</t>
  </si>
  <si>
    <t>Admin đăng nhập; withdraw PENDING</t>
  </si>
  <si>
    <t>1. POST /withdraw-approvals {withdraw_request_id, decision:"APPROVED"} 2. Kiểm tra DB</t>
  </si>
  <si>
    <t>decision=APPROVED</t>
  </si>
  <si>
    <t>Status 200; withdraw status → APPROVED; admin_signature + nonce + deadline lưu trong withdraw_approvals</t>
  </si>
  <si>
    <t>TC41</t>
  </si>
  <si>
    <t>Admin reject withdraw request</t>
  </si>
  <si>
    <t>Từ chối rút tiền</t>
  </si>
  <si>
    <t>1. POST /withdraw-approvals {withdraw_request_id, decision:"REJECTED", note:"Lý do"}</t>
  </si>
  <si>
    <t>decision=REJECTED; note=text</t>
  </si>
  <si>
    <t>Status 200; status → REJECTED; note lưu</t>
  </si>
  <si>
    <t>TC42</t>
  </si>
  <si>
    <t>User thường truy cập withdraw-approvals</t>
  </si>
  <si>
    <t>Chặn phân quyền role</t>
  </si>
  <si>
    <t>JWT của USER hoặc FOUNDER</t>
  </si>
  <si>
    <t>1. GET /withdraw-approvals với JWT không phải ADMIN</t>
  </si>
  <si>
    <t>role ≠ ADMIN</t>
  </si>
  <si>
    <t>Status 403 Forbidden; không trả dữ liệu</t>
  </si>
  <si>
    <t>TC43</t>
  </si>
  <si>
    <t>Tạo vault on-chain cho project đã duyệt</t>
  </si>
  <si>
    <t>Deploy vault thành công</t>
  </si>
  <si>
    <t>Admin đăng nhập; project APPROVED</t>
  </si>
  <si>
    <t>1. POST /admin/projects/:id/create-vault 2. Kiểm tra DB + on-chain</t>
  </si>
  <si>
    <t>project_id đã APPROVED</t>
  </si>
  <si>
    <t>Status 200; vault_address lưu DB; ipfs_cid lưu; Factory.vaults[projectId] ≠ address(0)</t>
  </si>
  <si>
    <t>Postman + DB + Hardhat</t>
  </si>
  <si>
    <t>TC44</t>
  </si>
  <si>
    <t>Tạo vault cho project chưa duyệt</t>
  </si>
  <si>
    <t>Chặn tạo vault sớm</t>
  </si>
  <si>
    <t>Project status = DRAFT hoặc PENDING</t>
  </si>
  <si>
    <t>1. POST /admin/projects/:id/create-vault</t>
  </si>
  <si>
    <t>project chưa APPROVED</t>
  </si>
  <si>
    <t>Status 400; vault không deploy; vault_address vẫn NULL</t>
  </si>
  <si>
    <t>TC45</t>
  </si>
  <si>
    <t>JWT giả mạo bị từ chối</t>
  </si>
  <si>
    <t>Từ chối token modified</t>
  </si>
  <si>
    <t>Endpoint yêu cầu auth</t>
  </si>
  <si>
    <t>1. Gửi request GET /users/me với JWT bị sửa payload</t>
  </si>
  <si>
    <t>Authorization: Bearer &lt;tampered\&gt;</t>
  </si>
  <si>
    <t>Status 401 Unauthorized; không trả dữ liệu nhạy cảm</t>
  </si>
  <si>
    <t>TC46</t>
  </si>
  <si>
    <t>JWT hết hạn bị từ chối</t>
  </si>
  <si>
    <t>Từ chối token expired</t>
  </si>
  <si>
    <t>Có token đã expired</t>
  </si>
  <si>
    <t>1. Gửi request với JWT hết hạn</t>
  </si>
  <si>
    <t>expired JWT</t>
  </si>
  <si>
    <t>Status 401; frontend chuyển về login</t>
  </si>
  <si>
    <t>TC47</t>
  </si>
  <si>
    <t>Replay attack on-chain bị chặn</t>
  </si>
  <si>
    <t>Nonce đã dùng bị reject</t>
  </si>
  <si>
    <t>Đã claim thành công với nonce=1</t>
  </si>
  <si>
    <t>1. Gọi vault.claim() lại với cùng nonce=1 và signature</t>
  </si>
  <si>
    <t>nonce=1 (đã used)</t>
  </si>
  <si>
    <t>Revert "Nonce already used"; vault balance không đổi</t>
  </si>
  <si>
    <t>TC48</t>
  </si>
  <si>
    <t>User truy cập API admin</t>
  </si>
  <si>
    <t>Chặn role không đúng</t>
  </si>
  <si>
    <t>JWT của role USER</t>
  </si>
  <si>
    <t>1. GET /admin/dashboard với JWT user thường</t>
  </si>
  <si>
    <t>TC49</t>
  </si>
  <si>
    <t>Toàn vẹn</t>
  </si>
  <si>
    <t>Donate thất bại on-chain không cập nhật DB</t>
  </si>
  <si>
    <t>DB nhất quán khi tx fail</t>
  </si>
  <si>
    <t>Donation PENDING đã tạo qua API</t>
  </si>
  <si>
    <t>1. Tạo donation qua API (PENDING) 2. KHÔNG gọi confirm-crypto 3. Kiểm tra DB</t>
  </si>
  <si>
    <t>donation status vẫn PENDING; project current_amount không tăng</t>
  </si>
  <si>
    <t>TC50</t>
  </si>
  <si>
    <t>SQL Injection tại wallet login</t>
  </si>
  <si>
    <t>Chống SQL injection</t>
  </si>
  <si>
    <t>1. POST /auth/wallet/login {walletAddress: "' OR '1'='1"}</t>
  </si>
  <si>
    <t>walletAddress = "' OR '1'='1"</t>
  </si>
  <si>
    <t>Đăng nhập thất bại; response an toàn; không lỗi SQL lộ ra</t>
  </si>
  <si>
    <t>Auth</t>
  </si>
  <si>
    <t>Login thành công</t>
  </si>
  <si>
    <t>Kiểm tra Google Login</t>
  </si>
  <si>
    <t>Có tài khoản Google</t>
  </si>
  <si>
    <t>Đăng nhập -&gt; Chọn tài khoản</t>
  </si>
  <si>
    <t>Google ID Token</t>
  </si>
  <si>
    <t>Trả về AccessToken, Lưu session</t>
  </si>
  <si>
    <t>Login sai Token</t>
  </si>
  <si>
    <t>Kiểm tra login Token lỗi</t>
  </si>
  <si>
    <t>Token không hợp lệ</t>
  </si>
  <si>
    <t>Gửi ID Token sai đến API</t>
  </si>
  <si>
    <t>Invalid Token</t>
  </si>
  <si>
    <t>Trả về lỗi 401 Unauthorized</t>
  </si>
  <si>
    <t>Kiểm tra JWT expire</t>
  </si>
  <si>
    <t>Token hết 15 phút</t>
  </si>
  <si>
    <t>Truy cập API sau 15 phút</t>
  </si>
  <si>
    <t>AccessToken cũ</t>
  </si>
  <si>
    <t>Yêu cầu Login lại/Refresh token</t>
  </si>
  <si>
    <t>Refresh Token</t>
  </si>
  <si>
    <t>Lấy token mới</t>
  </si>
  <si>
    <t>Có RefreshToken hợp lệ</t>
  </si>
  <si>
    <t>Gọi API /refresh</t>
  </si>
  <si>
    <t>RefreshToken</t>
  </si>
  <si>
    <t>API cấp AccessToken mới</t>
  </si>
  <si>
    <t>Logout</t>
  </si>
  <si>
    <t>Đăng xuất người dùng</t>
  </si>
  <si>
    <t>Đang đăng nhập</t>
  </si>
  <si>
    <t>Click Đăng xuất</t>
  </si>
  <si>
    <t>None</t>
  </si>
  <si>
    <t>Xóa token Browser, Về trang chủ</t>
  </si>
  <si>
    <t>Thấp</t>
  </si>
  <si>
    <t>Truy cập trái phép</t>
  </si>
  <si>
    <t>Quyền vào Profile</t>
  </si>
  <si>
    <t>Chưa đăng nhập</t>
  </si>
  <si>
    <t>Vào link /profile trực tiếp</t>
  </si>
  <si>
    <t>Bị chặn, redirect về Signin</t>
  </si>
  <si>
    <t>Đăng ký mới (First)</t>
  </si>
  <si>
    <t>User mới qua Google</t>
  </si>
  <si>
    <t>Email chưa có trong DB</t>
  </si>
  <si>
    <t>Login lần đầu qua Google</t>
  </si>
  <si>
    <t>Email mới</t>
  </si>
  <si>
    <t>Tạo bản ghi User, gán Role 'USER'</t>
  </si>
  <si>
    <t>DB Check</t>
  </si>
  <si>
    <t>Sửa đổi Token</t>
  </si>
  <si>
    <t>Kiểm tra tính Integrity</t>
  </si>
  <si>
    <t>Token bị sửa Signature</t>
  </si>
  <si>
    <t>Gửi token đã sửa lên API</t>
  </si>
  <si>
    <t>Tampered JWT</t>
  </si>
  <si>
    <t>Hệ thống báo token không hợp lệ</t>
  </si>
  <si>
    <t>Chuyển hướng VNPay</t>
  </si>
  <si>
    <t>Tạo URL thanh toán</t>
  </si>
  <si>
    <t>Project đang hoạt động</t>
  </si>
  <si>
    <t>Chọn Donation qua VNPay</t>
  </si>
  <si>
    <t>Amount: 100,000</t>
  </si>
  <si>
    <t>Chuyển hướng sang sandbox VNPay</t>
  </si>
  <si>
    <t>Thanh toán thành công</t>
  </si>
  <si>
    <t>Verify callback VNPay</t>
  </si>
  <si>
    <t>Giao dịch tại sandbox</t>
  </si>
  <si>
    <t>Hoàn tất trên VNPay -&gt; Quay về</t>
  </si>
  <si>
    <t>ResponseCode: 00</t>
  </si>
  <si>
    <t>Donation thành CONFIRMED</t>
  </si>
  <si>
    <t>Người dùng hủy</t>
  </si>
  <si>
    <t>Xử lý mã lỗi 24</t>
  </si>
  <si>
    <t>Đang ở trang VNPay</t>
  </si>
  <si>
    <t>Click "Hủy giao dịch"</t>
  </si>
  <si>
    <t>ResponseCode: 24</t>
  </si>
  <si>
    <t>Donation thành FAILED</t>
  </si>
  <si>
    <t>Sai checksum</t>
  </si>
  <si>
    <t>Bảo mật giao dịch</t>
  </si>
  <si>
    <t>Callback bị hack dữ liệu</t>
  </si>
  <si>
    <t>Sửa vnp_Amount trong URL</t>
  </si>
  <si>
    <t>Modified URL</t>
  </si>
  <si>
    <t>Hệ thống báo lỗi "Invalid Checksum"</t>
  </si>
  <si>
    <t>Timeout giao dịch</t>
  </si>
  <si>
    <t>Xử lý thanh toán quá lâu</t>
  </si>
  <si>
    <t>Chờ ở VNPay &gt; 15 phút</t>
  </si>
  <si>
    <t>Hoàn tất sau 15 phút chờ</t>
  </si>
  <si>
    <t>Session expired</t>
  </si>
  <si>
    <t>Hệ thống báo lỗi giao dịch hết hạn</t>
  </si>
  <si>
    <t>Duplicate TxnRef</t>
  </si>
  <si>
    <t>Ngăn quyên góp trùng</t>
  </si>
  <si>
    <t>Trùng mã txn_ref cũ</t>
  </si>
  <si>
    <t>Gửi lại callback trùng txn_ref</t>
  </si>
  <si>
    <t>Hệ thống không cộng tiền lần 2</t>
  </si>
  <si>
    <t>SQL</t>
  </si>
  <si>
    <t>Tải dự án trang chủ</t>
  </si>
  <si>
    <t>Hiển thị list</t>
  </si>
  <si>
    <t>Server có dữ liệu</t>
  </si>
  <si>
    <t>Truy cập Home page</t>
  </si>
  <si>
    <t>Load đúng 3-6 dự án Featured</t>
  </si>
  <si>
    <t>Lọc theo Category</t>
  </si>
  <si>
    <t>Tải dự án theo loại</t>
  </si>
  <si>
    <t>Có project trong Cat A</t>
  </si>
  <si>
    <t>Click chọn Category A</t>
  </si>
  <si>
    <t>Category Slug</t>
  </si>
  <si>
    <t>Chỉ hiện project thuộc Cat A</t>
  </si>
  <si>
    <t>Detail ID sai</t>
  </si>
  <si>
    <t>Xử lý lỗi dữ liệu</t>
  </si>
  <si>
    <t>ID không có trong DB</t>
  </si>
  <si>
    <t>Truy cập /projects/abc</t>
  </si>
  <si>
    <t>ID: abc</t>
  </si>
  <si>
    <t>Hiện thông báo hoặc trang Not Found</t>
  </si>
  <si>
    <t>Responsive Mobile</t>
  </si>
  <si>
    <t>Hiển thị trên Phone</t>
  </si>
  <si>
    <t>Phone view 375px</t>
  </si>
  <si>
    <t>Thu nhỏ màn hình trình duyệt</t>
  </si>
  <si>
    <t>Screen: 375px</t>
  </si>
  <si>
    <t>Menu burger hiện, Layout 1 cột</t>
  </si>
  <si>
    <t>DevTools</t>
  </si>
  <si>
    <t>Form</t>
  </si>
  <si>
    <t>Validate số tiền</t>
  </si>
  <si>
    <t>Ràng buộc nhập liệu</t>
  </si>
  <si>
    <t>Form donation mở</t>
  </si>
  <si>
    <t>Nhập số tiền âm</t>
  </si>
  <si>
    <t>Amount: -1000</t>
  </si>
  <si>
    <t>Nút Donate bị disable/Báo lỗi</t>
  </si>
  <si>
    <t>Home</t>
  </si>
  <si>
    <t>Hero Section</t>
  </si>
  <si>
    <t>Kiểm tra hiệu ứng</t>
  </si>
  <si>
    <t>Web vừa load</t>
  </si>
  <si>
    <t>Xem banner đầu trang</t>
  </si>
  <si>
    <t>Tiêu đề hiện smooth, CTA hoạt động</t>
  </si>
  <si>
    <t>Rank</t>
  </si>
  <si>
    <t>Lên hạng Ngay</t>
  </si>
  <si>
    <t>Tự động tăng hạng</t>
  </si>
  <si>
    <t>Thiếu 10 điểm</t>
  </si>
  <si>
    <t>Donate thêm 20k (~20 điểm)</t>
  </si>
  <si>
    <t>Response: 00</t>
  </si>
  <si>
    <t>Badge của user đổi sang mức mới</t>
  </si>
  <si>
    <t>DB</t>
  </si>
  <si>
    <t>Sát nút threshold</t>
  </si>
  <si>
    <t>Logic cận biên</t>
  </si>
  <si>
    <t>Cần 100 điểm</t>
  </si>
  <si>
    <t>Mới có 99 điểm tổng</t>
  </si>
  <si>
    <t>Total: 99</t>
  </si>
  <si>
    <t>Vẫn ở Badge cũ, chưa lên hạng</t>
  </si>
  <si>
    <t>Badge</t>
  </si>
  <si>
    <t>Chọn Badge hiển thị</t>
  </si>
  <si>
    <t>Thay đổi Avatar Badge</t>
  </si>
  <si>
    <t>Có 2 Badge đã đạt</t>
  </si>
  <si>
    <t>Vào Profile -&gt; Chọn Badge 2</t>
  </si>
  <si>
    <t>BadgeID = 2</t>
  </si>
  <si>
    <t>Badge được gán 'Selected' trong DB</t>
  </si>
  <si>
    <t>Hiển thị Badge công khai</t>
  </si>
  <si>
    <t>Verify UI người khác</t>
  </si>
  <si>
    <t>User A có Badge Gold</t>
  </si>
  <si>
    <t>User B xem Profile User A</t>
  </si>
  <si>
    <t>UserId: A</t>
  </si>
  <si>
    <t>Thấy Badge Gold bên cạnh tên User A</t>
  </si>
  <si>
    <t>Cập nhật tên</t>
  </si>
  <si>
    <t>Đổi tên trong Profile</t>
  </si>
  <si>
    <t>Đã đăng nhập</t>
  </si>
  <si>
    <t>Gõ tên mới -&gt; Save</t>
  </si>
  <si>
    <t>New Name</t>
  </si>
  <si>
    <t>Tên hiển thị thay đổi ngay lập tức</t>
  </si>
  <si>
    <t>Email trùng</t>
  </si>
  <si>
    <t>Validate email mới</t>
  </si>
  <si>
    <t>User khac dùng Email X</t>
  </si>
  <si>
    <t>Nhập Email X vào profile</t>
  </si>
  <si>
    <t>Email: X</t>
  </si>
  <si>
    <t>Hiện thông báo "Email already taken"</t>
  </si>
  <si>
    <t>Gửi OTP verify</t>
  </si>
  <si>
    <t>Luồng bảo mật</t>
  </si>
  <si>
    <t>Email chưa verify</t>
  </si>
  <si>
    <t>Click "Send OTP"</t>
  </si>
  <si>
    <t>User Email</t>
  </si>
  <si>
    <t>Mail nhận được mã 6 số</t>
  </si>
  <si>
    <t>Gmail</t>
  </si>
  <si>
    <t>OTP hết hạn</t>
  </si>
  <si>
    <t>Kiểm tra quá thời gian</t>
  </si>
  <si>
    <t>Mã đã gửi quá 5p</t>
  </si>
  <si>
    <t>Đợi 6 phút -&gt; Nhập OTP</t>
  </si>
  <si>
    <t>Expired OTP</t>
  </si>
  <si>
    <t>Báo lỗi "OTP has expired"</t>
  </si>
  <si>
    <t>Sai OTP</t>
  </si>
  <si>
    <t>Kiểm tra mã sai</t>
  </si>
  <si>
    <t>Mã đúng là 123</t>
  </si>
  <si>
    <t>Nhập 000</t>
  </si>
  <si>
    <t>OTP: 000</t>
  </si>
  <si>
    <t>Báo lỗi "Invalid OTP"</t>
  </si>
  <si>
    <t>Cập nhật ví Wallet</t>
  </si>
  <si>
    <t>Liên kết ví Crypto</t>
  </si>
  <si>
    <t>Ví chưa liên kết</t>
  </si>
  <si>
    <t>Nhập địa chỉ ví 0x...</t>
  </si>
  <si>
    <t>Valid Address</t>
  </si>
  <si>
    <t>Wallet address được lưu vào Profile</t>
  </si>
  <si>
    <t>Stats</t>
  </si>
  <si>
    <t>Đối chiếu số tiền</t>
  </si>
  <si>
    <t>Tính tổng donation</t>
  </si>
  <si>
    <t>Dự án có 3 người quyên</t>
  </si>
  <si>
    <t>Kiểm tra Current Amount</t>
  </si>
  <si>
    <t>Sum(Donations)</t>
  </si>
  <si>
    <t>Khớp 100% với dữ liệu quyên góp</t>
  </si>
  <si>
    <t>Source: 4_Test_Case.md</t>
  </si>
  <si>
    <t>TEST REPORT</t>
  </si>
  <si>
    <t>Báo cáo tại ngày</t>
  </si>
  <si>
    <t>Nguồn dữ liệu</t>
  </si>
  <si>
    <t>Sheet 4_Test_Case</t>
  </si>
  <si>
    <t>A. Tổng quan thực thi</t>
  </si>
  <si>
    <t>Chỉ số</t>
  </si>
  <si>
    <t>Giá trị</t>
  </si>
  <si>
    <t>Công thức/ghi chú</t>
  </si>
  <si>
    <t>Tổng số test case</t>
  </si>
  <si>
    <t>Đếm số TC có mã</t>
  </si>
  <si>
    <t>Số test case đã thực hiện</t>
  </si>
  <si>
    <t>Pass + Fail</t>
  </si>
  <si>
    <t>Số Pass</t>
  </si>
  <si>
    <t>Kết quả Pass</t>
  </si>
  <si>
    <t>Số Fail</t>
  </si>
  <si>
    <t>Kết quả Fail</t>
  </si>
  <si>
    <t>Số Not Run</t>
  </si>
  <si>
    <t>Chưa chạy</t>
  </si>
  <si>
    <t>Tỷ lệ Pass / Tổng số</t>
  </si>
  <si>
    <t>Pass trên tổng số TC</t>
  </si>
  <si>
    <t>Tỷ lệ Pass / Đã thực hiện</t>
  </si>
  <si>
    <t>Pass trên TC đã chạy</t>
  </si>
  <si>
    <t>B. Thống kê theo mức kiểm thử</t>
  </si>
  <si>
    <t>Tổng TC</t>
  </si>
  <si>
    <t>Tỷ lệ Pass</t>
  </si>
  <si>
    <t>C. Thống kê theo công cụ tự động cho test phi chức năng</t>
  </si>
  <si>
    <t>Số TC liên quan</t>
  </si>
  <si>
    <t>Accessibility + Performance frontend</t>
  </si>
  <si>
    <t>Load test API</t>
  </si>
  <si>
    <t>Security scan cơ bản</t>
  </si>
  <si>
    <t>Responsive/Cross-browser/Smoke E2E</t>
  </si>
  <si>
    <t>API auth, token, injection</t>
  </si>
  <si>
    <t>D. Nhận xét nhanh</t>
  </si>
  <si>
    <t>Kết quả hiện tại cho thấy các luồng lõi đa số đạt yêu cầu, tuy nhiên vẫn còn lỗi ở các điểm quan trọng như ẩn chiến dịch khỏi danh sách người dùng, đồng bộ current_amount khi giao dịch thất bại, loading/empty state, hiệu năng API tải đồng thời và cảnh báo bảo mật cơ bản. Cần ưu tiên sửa các lỗi Fail trước khi demo/nghiệm thu.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</si>
</sst>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23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color theme="1"/>
      <name val="Calibri"/>
      <scheme val="minor"/>
    </font>
    <font>
      <b/>
      <color rgb="FF666666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  <scheme val="minor"/>
    </font>
    <font>
      <b/>
      <color rgb="FFFFFFFF"/>
      <name val="Calibri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b/>
      <sz val="12.0"/>
      <color theme="1"/>
      <name val="Calibri"/>
      <scheme val="minor"/>
    </font>
    <font>
      <b/>
      <color rgb="FF000000"/>
      <name val="Calibri"/>
    </font>
    <font>
      <color rgb="FF000000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color theme="1"/>
      <name val="Calibri"/>
      <scheme val="minor"/>
    </font>
    <font>
      <b/>
      <sz val="12.0"/>
      <color rgb="FF000000"/>
      <name val="Arial"/>
    </font>
    <font>
      <b/>
      <color rgb="FF006100"/>
      <name val="Calibri"/>
    </font>
    <font>
      <b/>
      <color rgb="FF9C0006"/>
      <name val="Calibri"/>
    </font>
    <font>
      <b/>
      <color rgb="FF9C6500"/>
      <name val="Calibri"/>
    </font>
    <font>
      <sz val="11.0"/>
      <color rgb="FF000000"/>
      <name val="Arial"/>
    </font>
    <font>
      <i/>
      <sz val="11.0"/>
      <color rgb="FF7F6000"/>
      <name val="&quot;Aptos Narrow&quot;"/>
    </font>
  </fonts>
  <fills count="1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AF3FA"/>
        <bgColor rgb="FFEAF3FA"/>
      </patternFill>
    </fill>
    <fill>
      <patternFill patternType="solid">
        <fgColor rgb="FFFFFFFF"/>
        <bgColor rgb="FFFFFFFF"/>
      </patternFill>
    </fill>
    <fill>
      <patternFill patternType="solid">
        <fgColor rgb="FFF8FBFF"/>
        <bgColor rgb="FFF8FBFF"/>
      </patternFill>
    </fill>
    <fill>
      <patternFill patternType="solid">
        <fgColor rgb="FFF7FBFD"/>
        <bgColor rgb="FFF7FBFD"/>
      </patternFill>
    </fill>
    <fill>
      <patternFill patternType="solid">
        <fgColor rgb="FFE2F0D9"/>
        <bgColor rgb="FFE2F0D9"/>
      </patternFill>
    </fill>
    <fill>
      <patternFill patternType="solid">
        <fgColor rgb="FF548235"/>
        <bgColor rgb="FF548235"/>
      </patternFill>
    </fill>
    <fill>
      <patternFill patternType="solid">
        <fgColor rgb="FFF0F7E7"/>
        <bgColor rgb="FFF0F7E7"/>
      </patternFill>
    </fill>
    <fill>
      <patternFill patternType="solid">
        <fgColor rgb="FFFFF2CC"/>
        <bgColor rgb="FFFFF2CC"/>
      </patternFill>
    </fill>
    <fill>
      <patternFill patternType="solid">
        <fgColor rgb="FFBF9000"/>
        <bgColor rgb="FFBF9000"/>
      </patternFill>
    </fill>
    <fill>
      <patternFill patternType="solid">
        <fgColor rgb="FFFCE4D6"/>
        <bgColor rgb="FFFCE4D6"/>
      </patternFill>
    </fill>
    <fill>
      <patternFill patternType="solid">
        <fgColor rgb="FFFDE9E7"/>
        <bgColor rgb="FFFDE9E7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EDE7F6"/>
        <bgColor rgb="FFEDE7F6"/>
      </patternFill>
    </fill>
    <fill>
      <patternFill patternType="solid">
        <fgColor rgb="FFF4F4F4"/>
        <bgColor rgb="FFF4F4F4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top style="thin">
        <color rgb="FFD0D7DE"/>
      </top>
      <bottom style="thin">
        <color rgb="FFD0D7DE"/>
      </bottom>
    </border>
    <border>
      <bottom style="thin">
        <color rgb="FFD0D7DE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horizontal="left" shrinkToFit="0" vertical="top" wrapText="1"/>
    </xf>
    <xf borderId="1" fillId="3" fontId="7" numFmtId="0" xfId="0" applyAlignment="1" applyBorder="1" applyFill="1" applyFont="1">
      <alignment horizontal="left" shrinkToFit="0" vertical="top" wrapText="1"/>
    </xf>
    <xf borderId="4" fillId="2" fontId="8" numFmtId="0" xfId="0" applyAlignment="1" applyBorder="1" applyFont="1">
      <alignment horizontal="center" shrinkToFit="0" vertical="top" wrapText="1"/>
    </xf>
    <xf borderId="5" fillId="0" fontId="5" numFmtId="0" xfId="0" applyAlignment="1" applyBorder="1" applyFont="1">
      <alignment horizontal="left" shrinkToFit="0" vertical="top" wrapText="1"/>
    </xf>
    <xf borderId="5" fillId="4" fontId="5" numFmtId="0" xfId="0" applyAlignment="1" applyBorder="1" applyFill="1" applyFont="1">
      <alignment horizontal="left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6" fillId="5" fontId="9" numFmtId="0" xfId="0" applyAlignment="1" applyBorder="1" applyFill="1" applyFont="1">
      <alignment readingOrder="0" shrinkToFit="0" vertical="top" wrapText="1"/>
    </xf>
    <xf borderId="6" fillId="5" fontId="10" numFmtId="0" xfId="0" applyAlignment="1" applyBorder="1" applyFont="1">
      <alignment readingOrder="0" shrinkToFit="0" vertical="top" wrapText="1"/>
    </xf>
    <xf borderId="6" fillId="6" fontId="9" numFmtId="0" xfId="0" applyAlignment="1" applyBorder="1" applyFill="1" applyFont="1">
      <alignment readingOrder="0" shrinkToFit="0" vertical="top" wrapText="1"/>
    </xf>
    <xf borderId="6" fillId="6" fontId="10" numFmtId="0" xfId="0" applyAlignment="1" applyBorder="1" applyFont="1">
      <alignment readingOrder="0" shrinkToFit="0" vertical="top" wrapText="1"/>
    </xf>
    <xf borderId="0" fillId="0" fontId="11" numFmtId="0" xfId="0" applyAlignment="1" applyFont="1">
      <alignment readingOrder="0"/>
    </xf>
    <xf borderId="7" fillId="5" fontId="12" numFmtId="0" xfId="0" applyAlignment="1" applyBorder="1" applyFont="1">
      <alignment horizontal="center" readingOrder="0"/>
    </xf>
    <xf borderId="7" fillId="5" fontId="13" numFmtId="0" xfId="0" applyAlignment="1" applyBorder="1" applyFont="1">
      <alignment horizontal="left" readingOrder="0" vertical="top"/>
    </xf>
    <xf borderId="7" fillId="5" fontId="13" numFmtId="0" xfId="0" applyAlignment="1" applyBorder="1" applyFont="1">
      <alignment horizontal="center" readingOrder="0"/>
    </xf>
    <xf borderId="7" fillId="7" fontId="12" numFmtId="0" xfId="0" applyAlignment="1" applyBorder="1" applyFill="1" applyFont="1">
      <alignment horizontal="center" readingOrder="0"/>
    </xf>
    <xf borderId="7" fillId="7" fontId="13" numFmtId="0" xfId="0" applyAlignment="1" applyBorder="1" applyFont="1">
      <alignment horizontal="left" readingOrder="0" vertical="top"/>
    </xf>
    <xf borderId="7" fillId="7" fontId="13" numFmtId="0" xfId="0" applyAlignment="1" applyBorder="1" applyFont="1">
      <alignment horizontal="center" readingOrder="0"/>
    </xf>
    <xf borderId="8" fillId="8" fontId="7" numFmtId="0" xfId="0" applyAlignment="1" applyBorder="1" applyFill="1" applyFont="1">
      <alignment horizontal="left" shrinkToFit="0" vertical="top" wrapText="1"/>
    </xf>
    <xf borderId="9" fillId="0" fontId="2" numFmtId="0" xfId="0" applyBorder="1" applyFont="1"/>
    <xf borderId="10" fillId="0" fontId="2" numFmtId="0" xfId="0" applyBorder="1" applyFont="1"/>
    <xf borderId="4" fillId="9" fontId="8" numFmtId="0" xfId="0" applyAlignment="1" applyBorder="1" applyFill="1" applyFont="1">
      <alignment horizontal="center" shrinkToFit="0" vertical="top" wrapText="1"/>
    </xf>
    <xf borderId="5" fillId="10" fontId="5" numFmtId="0" xfId="0" applyAlignment="1" applyBorder="1" applyFill="1" applyFont="1">
      <alignment horizontal="left" shrinkToFit="0" vertical="top" wrapText="1"/>
    </xf>
    <xf borderId="0" fillId="0" fontId="10" numFmtId="0" xfId="0" applyAlignment="1" applyFont="1">
      <alignment shrinkToFit="0" vertical="bottom" wrapText="1"/>
    </xf>
    <xf borderId="0" fillId="0" fontId="14" numFmtId="0" xfId="0" applyAlignment="1" applyFont="1">
      <alignment horizontal="left" readingOrder="0" shrinkToFit="0" vertical="top" wrapText="1"/>
    </xf>
    <xf borderId="7" fillId="5" fontId="13" numFmtId="0" xfId="0" applyAlignment="1" applyBorder="1" applyFont="1">
      <alignment horizontal="left" readingOrder="0"/>
    </xf>
    <xf borderId="7" fillId="7" fontId="13" numFmtId="0" xfId="0" applyAlignment="1" applyBorder="1" applyFont="1">
      <alignment horizontal="left" readingOrder="0"/>
    </xf>
    <xf borderId="1" fillId="11" fontId="7" numFmtId="0" xfId="0" applyAlignment="1" applyBorder="1" applyFill="1" applyFont="1">
      <alignment horizontal="left" shrinkToFit="0" vertical="top" wrapText="1"/>
    </xf>
    <xf borderId="4" fillId="12" fontId="8" numFmtId="0" xfId="0" applyAlignment="1" applyBorder="1" applyFill="1" applyFont="1">
      <alignment horizontal="center" shrinkToFit="0" vertical="top" wrapText="1"/>
    </xf>
    <xf borderId="5" fillId="13" fontId="5" numFmtId="0" xfId="0" applyAlignment="1" applyBorder="1" applyFill="1" applyFont="1">
      <alignment horizontal="left" shrinkToFit="0" vertical="top" wrapText="1"/>
    </xf>
    <xf borderId="0" fillId="0" fontId="3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7" fillId="5" fontId="12" numFmtId="0" xfId="0" applyAlignment="1" applyBorder="1" applyFont="1">
      <alignment horizontal="center" readingOrder="0" vertical="top"/>
    </xf>
    <xf borderId="7" fillId="7" fontId="12" numFmtId="0" xfId="0" applyAlignment="1" applyBorder="1" applyFont="1">
      <alignment horizontal="center" readingOrder="0" vertical="top"/>
    </xf>
    <xf borderId="1" fillId="8" fontId="7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15" numFmtId="0" xfId="0" applyAlignment="1" applyFont="1">
      <alignment horizontal="left" readingOrder="0" shrinkToFit="0" vertical="top" wrapText="1"/>
    </xf>
    <xf borderId="5" fillId="8" fontId="16" numFmtId="0" xfId="0" applyAlignment="1" applyBorder="1" applyFont="1">
      <alignment horizontal="left" shrinkToFit="0" vertical="top" wrapText="1"/>
    </xf>
    <xf borderId="5" fillId="14" fontId="16" numFmtId="0" xfId="0" applyAlignment="1" applyBorder="1" applyFill="1" applyFont="1">
      <alignment horizontal="left" shrinkToFit="0" vertical="top" wrapText="1"/>
    </xf>
    <xf borderId="5" fillId="11" fontId="16" numFmtId="0" xfId="0" applyAlignment="1" applyBorder="1" applyFont="1">
      <alignment horizontal="left" shrinkToFit="0" vertical="top" wrapText="1"/>
    </xf>
    <xf borderId="0" fillId="15" fontId="16" numFmtId="0" xfId="0" applyAlignment="1" applyFill="1" applyFont="1">
      <alignment horizontal="left" shrinkToFit="0" vertical="top" wrapText="1"/>
    </xf>
    <xf borderId="0" fillId="0" fontId="17" numFmtId="0" xfId="0" applyAlignment="1" applyFont="1">
      <alignment readingOrder="0" shrinkToFit="0" vertical="bottom" wrapText="1"/>
    </xf>
    <xf borderId="7" fillId="8" fontId="18" numFmtId="0" xfId="0" applyAlignment="1" applyBorder="1" applyFont="1">
      <alignment horizontal="center" readingOrder="0"/>
    </xf>
    <xf borderId="7" fillId="0" fontId="3" numFmtId="0" xfId="0" applyAlignment="1" applyBorder="1" applyFont="1">
      <alignment shrinkToFit="0" wrapText="1"/>
    </xf>
    <xf borderId="7" fillId="16" fontId="19" numFmtId="0" xfId="0" applyAlignment="1" applyBorder="1" applyFill="1" applyFont="1">
      <alignment horizontal="center" readingOrder="0"/>
    </xf>
    <xf borderId="7" fillId="11" fontId="20" numFmtId="0" xfId="0" applyAlignment="1" applyBorder="1" applyFont="1">
      <alignment horizontal="center" readingOrder="0"/>
    </xf>
    <xf borderId="0" fillId="0" fontId="21" numFmtId="0" xfId="0" applyAlignment="1" applyFont="1">
      <alignment readingOrder="0" shrinkToFit="0" vertical="bottom" wrapText="1"/>
    </xf>
    <xf borderId="0" fillId="11" fontId="22" numFmtId="0" xfId="0" applyAlignment="1" applyFont="1">
      <alignment readingOrder="0" shrinkToFit="0" vertical="top" wrapText="1"/>
    </xf>
    <xf borderId="0" fillId="0" fontId="10" numFmtId="0" xfId="0" applyAlignment="1" applyFont="1">
      <alignment shrinkToFit="0" vertical="bottom" wrapText="1"/>
    </xf>
    <xf borderId="1" fillId="2" fontId="1" numFmtId="0" xfId="0" applyAlignment="1" applyBorder="1" applyFont="1">
      <alignment horizontal="center" vertical="center"/>
    </xf>
    <xf borderId="0" fillId="0" fontId="5" numFmtId="164" xfId="0" applyAlignment="1" applyFont="1" applyNumberFormat="1">
      <alignment horizontal="left" shrinkToFit="0" vertical="top" wrapText="1"/>
    </xf>
    <xf borderId="5" fillId="4" fontId="5" numFmtId="1" xfId="0" applyAlignment="1" applyBorder="1" applyFont="1" applyNumberFormat="1">
      <alignment horizontal="left" shrinkToFit="0" vertical="top" wrapText="1"/>
    </xf>
    <xf borderId="5" fillId="0" fontId="5" numFmtId="1" xfId="0" applyAlignment="1" applyBorder="1" applyFont="1" applyNumberFormat="1">
      <alignment horizontal="left" shrinkToFit="0" vertical="top" wrapText="1"/>
    </xf>
    <xf borderId="5" fillId="0" fontId="5" numFmtId="165" xfId="0" applyAlignment="1" applyBorder="1" applyFont="1" applyNumberFormat="1">
      <alignment horizontal="left" shrinkToFit="0" vertical="top" wrapText="1"/>
    </xf>
    <xf borderId="5" fillId="4" fontId="5" numFmtId="165" xfId="0" applyAlignment="1" applyBorder="1" applyFont="1" applyNumberFormat="1">
      <alignment horizontal="left" shrinkToFit="0" vertical="top" wrapText="1"/>
    </xf>
    <xf borderId="5" fillId="10" fontId="5" numFmtId="165" xfId="0" applyAlignment="1" applyBorder="1" applyFont="1" applyNumberFormat="1">
      <alignment horizontal="left" shrinkToFit="0" vertical="top" wrapText="1"/>
    </xf>
    <xf borderId="1" fillId="17" fontId="7" numFmtId="0" xfId="0" applyAlignment="1" applyBorder="1" applyFill="1" applyFont="1">
      <alignment horizontal="left" shrinkToFit="0" vertical="top" wrapText="1"/>
    </xf>
    <xf borderId="11" fillId="18" fontId="5" numFmtId="0" xfId="0" applyAlignment="1" applyBorder="1" applyFill="1" applyFont="1">
      <alignment horizontal="left" shrinkToFit="0" vertical="top" wrapText="1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35.14"/>
    <col customWidth="1" min="3" max="3" width="42.29"/>
    <col customWidth="1" min="4" max="4" width="72.57"/>
    <col customWidth="1" min="5" max="5" width="18.71"/>
    <col customWidth="1" min="6" max="6" width="12.0"/>
    <col customWidth="1" min="7" max="26" width="8.71"/>
  </cols>
  <sheetData>
    <row r="1" ht="24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75" customHeight="1">
      <c r="A2" s="5" t="s">
        <v>1</v>
      </c>
      <c r="B2" s="6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9.5" customHeight="1">
      <c r="A3" s="5" t="s">
        <v>3</v>
      </c>
      <c r="B3" s="7" t="s">
        <v>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/>
      <c r="B4" s="8"/>
      <c r="C4" s="8"/>
      <c r="D4" s="8"/>
      <c r="E4" s="8"/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9" t="s">
        <v>5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 t="s">
        <v>12</v>
      </c>
      <c r="B7" s="11" t="s">
        <v>13</v>
      </c>
      <c r="C7" s="11" t="s">
        <v>14</v>
      </c>
      <c r="D7" s="11" t="s">
        <v>15</v>
      </c>
      <c r="E7" s="11" t="s">
        <v>16</v>
      </c>
      <c r="F7" s="11" t="s">
        <v>17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" t="s">
        <v>18</v>
      </c>
      <c r="B8" s="12" t="s">
        <v>13</v>
      </c>
      <c r="C8" s="12" t="s">
        <v>19</v>
      </c>
      <c r="D8" s="12" t="s">
        <v>20</v>
      </c>
      <c r="E8" s="12" t="s">
        <v>21</v>
      </c>
      <c r="F8" s="12" t="s">
        <v>17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 t="s">
        <v>22</v>
      </c>
      <c r="B9" s="11" t="s">
        <v>13</v>
      </c>
      <c r="C9" s="11" t="s">
        <v>23</v>
      </c>
      <c r="D9" s="11" t="s">
        <v>24</v>
      </c>
      <c r="E9" s="11" t="s">
        <v>21</v>
      </c>
      <c r="F9" s="11" t="s">
        <v>17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2" t="s">
        <v>25</v>
      </c>
      <c r="B10" s="12" t="s">
        <v>13</v>
      </c>
      <c r="C10" s="12" t="s">
        <v>26</v>
      </c>
      <c r="D10" s="12" t="s">
        <v>27</v>
      </c>
      <c r="E10" s="12" t="s">
        <v>21</v>
      </c>
      <c r="F10" s="12" t="s">
        <v>17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 t="s">
        <v>28</v>
      </c>
      <c r="B11" s="11" t="s">
        <v>13</v>
      </c>
      <c r="C11" s="11" t="s">
        <v>29</v>
      </c>
      <c r="D11" s="11" t="s">
        <v>30</v>
      </c>
      <c r="E11" s="11" t="s">
        <v>13</v>
      </c>
      <c r="F11" s="11" t="s">
        <v>31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2" t="s">
        <v>32</v>
      </c>
      <c r="B12" s="12" t="s">
        <v>13</v>
      </c>
      <c r="C12" s="12" t="s">
        <v>33</v>
      </c>
      <c r="D12" s="12" t="s">
        <v>34</v>
      </c>
      <c r="E12" s="12" t="s">
        <v>13</v>
      </c>
      <c r="F12" s="12" t="s">
        <v>35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 t="s">
        <v>36</v>
      </c>
      <c r="B13" s="11" t="s">
        <v>37</v>
      </c>
      <c r="C13" s="11" t="s">
        <v>38</v>
      </c>
      <c r="D13" s="11" t="s">
        <v>39</v>
      </c>
      <c r="E13" s="11" t="s">
        <v>40</v>
      </c>
      <c r="F13" s="11" t="s">
        <v>31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2" t="s">
        <v>41</v>
      </c>
      <c r="B14" s="12" t="s">
        <v>37</v>
      </c>
      <c r="C14" s="12" t="s">
        <v>42</v>
      </c>
      <c r="D14" s="12" t="s">
        <v>43</v>
      </c>
      <c r="E14" s="12" t="s">
        <v>40</v>
      </c>
      <c r="F14" s="12" t="s">
        <v>17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 t="s">
        <v>44</v>
      </c>
      <c r="B15" s="11" t="s">
        <v>37</v>
      </c>
      <c r="C15" s="11" t="s">
        <v>45</v>
      </c>
      <c r="D15" s="11" t="s">
        <v>46</v>
      </c>
      <c r="E15" s="11" t="s">
        <v>40</v>
      </c>
      <c r="F15" s="11" t="s">
        <v>17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2" t="s">
        <v>47</v>
      </c>
      <c r="B16" s="12" t="s">
        <v>48</v>
      </c>
      <c r="C16" s="12" t="s">
        <v>49</v>
      </c>
      <c r="D16" s="12" t="s">
        <v>50</v>
      </c>
      <c r="E16" s="12" t="s">
        <v>51</v>
      </c>
      <c r="F16" s="12" t="s">
        <v>17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/>
      <c r="B17" s="8"/>
      <c r="C17" s="8"/>
      <c r="D17" s="8"/>
      <c r="E17" s="8"/>
      <c r="F17" s="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/>
      <c r="B18" s="8"/>
      <c r="C18" s="8"/>
      <c r="D18" s="8"/>
      <c r="E18" s="8"/>
      <c r="F18" s="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3" t="s">
        <v>52</v>
      </c>
      <c r="B19" s="8"/>
      <c r="C19" s="8"/>
      <c r="D19" s="8"/>
      <c r="E19" s="8"/>
      <c r="F19" s="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14" t="s">
        <v>12</v>
      </c>
      <c r="B20" s="15" t="s">
        <v>53</v>
      </c>
      <c r="C20" s="15" t="s">
        <v>54</v>
      </c>
      <c r="D20" s="15" t="s">
        <v>55</v>
      </c>
      <c r="E20" s="15" t="s">
        <v>56</v>
      </c>
      <c r="F20" s="15" t="s">
        <v>31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6" t="s">
        <v>18</v>
      </c>
      <c r="B21" s="17" t="s">
        <v>53</v>
      </c>
      <c r="C21" s="17" t="s">
        <v>57</v>
      </c>
      <c r="D21" s="17" t="s">
        <v>58</v>
      </c>
      <c r="E21" s="17" t="s">
        <v>59</v>
      </c>
      <c r="F21" s="17" t="s">
        <v>35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14" t="s">
        <v>22</v>
      </c>
      <c r="B22" s="15" t="s">
        <v>53</v>
      </c>
      <c r="C22" s="15" t="s">
        <v>60</v>
      </c>
      <c r="D22" s="15" t="s">
        <v>61</v>
      </c>
      <c r="E22" s="15" t="s">
        <v>62</v>
      </c>
      <c r="F22" s="15" t="s">
        <v>31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6" t="s">
        <v>25</v>
      </c>
      <c r="B23" s="17" t="s">
        <v>53</v>
      </c>
      <c r="C23" s="17" t="s">
        <v>63</v>
      </c>
      <c r="D23" s="17" t="s">
        <v>64</v>
      </c>
      <c r="E23" s="17" t="s">
        <v>65</v>
      </c>
      <c r="F23" s="17" t="s">
        <v>31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4" t="s">
        <v>28</v>
      </c>
      <c r="B24" s="15" t="s">
        <v>53</v>
      </c>
      <c r="C24" s="15" t="s">
        <v>66</v>
      </c>
      <c r="D24" s="15" t="s">
        <v>67</v>
      </c>
      <c r="E24" s="15" t="s">
        <v>68</v>
      </c>
      <c r="F24" s="15" t="s">
        <v>17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6" t="s">
        <v>32</v>
      </c>
      <c r="B25" s="17" t="s">
        <v>53</v>
      </c>
      <c r="C25" s="17" t="s">
        <v>69</v>
      </c>
      <c r="D25" s="17" t="s">
        <v>70</v>
      </c>
      <c r="E25" s="17" t="s">
        <v>68</v>
      </c>
      <c r="F25" s="17" t="s">
        <v>35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14" t="s">
        <v>36</v>
      </c>
      <c r="B26" s="15" t="s">
        <v>71</v>
      </c>
      <c r="C26" s="15" t="s">
        <v>72</v>
      </c>
      <c r="D26" s="15" t="s">
        <v>73</v>
      </c>
      <c r="E26" s="15" t="s">
        <v>16</v>
      </c>
      <c r="F26" s="15" t="s">
        <v>31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16" t="s">
        <v>41</v>
      </c>
      <c r="B27" s="17" t="s">
        <v>13</v>
      </c>
      <c r="C27" s="17" t="s">
        <v>74</v>
      </c>
      <c r="D27" s="17" t="s">
        <v>75</v>
      </c>
      <c r="E27" s="17" t="s">
        <v>62</v>
      </c>
      <c r="F27" s="17" t="s">
        <v>17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14" t="s">
        <v>44</v>
      </c>
      <c r="B28" s="15" t="s">
        <v>13</v>
      </c>
      <c r="C28" s="15" t="s">
        <v>76</v>
      </c>
      <c r="D28" s="15" t="s">
        <v>77</v>
      </c>
      <c r="E28" s="15" t="s">
        <v>62</v>
      </c>
      <c r="F28" s="15" t="s">
        <v>17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16" t="s">
        <v>47</v>
      </c>
      <c r="B29" s="17" t="s">
        <v>13</v>
      </c>
      <c r="C29" s="17" t="s">
        <v>78</v>
      </c>
      <c r="D29" s="17" t="s">
        <v>79</v>
      </c>
      <c r="E29" s="17" t="s">
        <v>80</v>
      </c>
      <c r="F29" s="17" t="s">
        <v>35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4" t="s">
        <v>81</v>
      </c>
      <c r="B30" s="15" t="s">
        <v>82</v>
      </c>
      <c r="C30" s="15" t="s">
        <v>83</v>
      </c>
      <c r="D30" s="15" t="s">
        <v>84</v>
      </c>
      <c r="E30" s="15" t="s">
        <v>80</v>
      </c>
      <c r="F30" s="15" t="s">
        <v>17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16" t="s">
        <v>85</v>
      </c>
      <c r="B31" s="17" t="s">
        <v>86</v>
      </c>
      <c r="C31" s="17" t="s">
        <v>87</v>
      </c>
      <c r="D31" s="17" t="s">
        <v>88</v>
      </c>
      <c r="E31" s="17" t="s">
        <v>62</v>
      </c>
      <c r="F31" s="17" t="s">
        <v>31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14" t="s">
        <v>89</v>
      </c>
      <c r="B32" s="15" t="s">
        <v>86</v>
      </c>
      <c r="C32" s="15" t="s">
        <v>90</v>
      </c>
      <c r="D32" s="15" t="s">
        <v>91</v>
      </c>
      <c r="E32" s="15" t="s">
        <v>62</v>
      </c>
      <c r="F32" s="15" t="s">
        <v>31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16" t="s">
        <v>92</v>
      </c>
      <c r="B33" s="17" t="s">
        <v>93</v>
      </c>
      <c r="C33" s="17" t="s">
        <v>94</v>
      </c>
      <c r="D33" s="17" t="s">
        <v>95</v>
      </c>
      <c r="E33" s="17" t="s">
        <v>65</v>
      </c>
      <c r="F33" s="17" t="s">
        <v>31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14" t="s">
        <v>96</v>
      </c>
      <c r="B34" s="15" t="s">
        <v>93</v>
      </c>
      <c r="C34" s="15" t="s">
        <v>97</v>
      </c>
      <c r="D34" s="15" t="s">
        <v>98</v>
      </c>
      <c r="E34" s="15" t="s">
        <v>65</v>
      </c>
      <c r="F34" s="15" t="s">
        <v>31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16" t="s">
        <v>99</v>
      </c>
      <c r="B35" s="17" t="s">
        <v>93</v>
      </c>
      <c r="C35" s="17" t="s">
        <v>100</v>
      </c>
      <c r="D35" s="17" t="s">
        <v>101</v>
      </c>
      <c r="E35" s="17" t="s">
        <v>65</v>
      </c>
      <c r="F35" s="17" t="s">
        <v>31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14" t="s">
        <v>102</v>
      </c>
      <c r="B36" s="15" t="s">
        <v>93</v>
      </c>
      <c r="C36" s="15" t="s">
        <v>103</v>
      </c>
      <c r="D36" s="15" t="s">
        <v>104</v>
      </c>
      <c r="E36" s="15" t="s">
        <v>65</v>
      </c>
      <c r="F36" s="15" t="s">
        <v>17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16" t="s">
        <v>105</v>
      </c>
      <c r="B37" s="17" t="s">
        <v>37</v>
      </c>
      <c r="C37" s="17" t="s">
        <v>106</v>
      </c>
      <c r="D37" s="17" t="s">
        <v>107</v>
      </c>
      <c r="E37" s="17" t="s">
        <v>40</v>
      </c>
      <c r="F37" s="17" t="s">
        <v>31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14" t="s">
        <v>108</v>
      </c>
      <c r="B38" s="15" t="s">
        <v>37</v>
      </c>
      <c r="C38" s="15" t="s">
        <v>109</v>
      </c>
      <c r="D38" s="15" t="s">
        <v>110</v>
      </c>
      <c r="E38" s="15" t="s">
        <v>40</v>
      </c>
      <c r="F38" s="15" t="s">
        <v>31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8"/>
      <c r="B39" s="8"/>
      <c r="C39" s="8"/>
      <c r="D39" s="8"/>
      <c r="E39" s="8"/>
      <c r="F39" s="8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18" t="s">
        <v>111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7.0" customHeight="1">
      <c r="A41" s="19" t="s">
        <v>12</v>
      </c>
      <c r="B41" s="20" t="s">
        <v>62</v>
      </c>
      <c r="C41" s="20" t="s">
        <v>112</v>
      </c>
      <c r="D41" s="20" t="s">
        <v>113</v>
      </c>
      <c r="E41" s="20" t="s">
        <v>16</v>
      </c>
      <c r="F41" s="21" t="s">
        <v>31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7.0" customHeight="1">
      <c r="A42" s="22" t="s">
        <v>18</v>
      </c>
      <c r="B42" s="23" t="s">
        <v>62</v>
      </c>
      <c r="C42" s="23" t="s">
        <v>114</v>
      </c>
      <c r="D42" s="23" t="s">
        <v>115</v>
      </c>
      <c r="E42" s="23" t="s">
        <v>16</v>
      </c>
      <c r="F42" s="24" t="s">
        <v>31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19" t="s">
        <v>22</v>
      </c>
      <c r="B43" s="20" t="s">
        <v>62</v>
      </c>
      <c r="C43" s="20" t="s">
        <v>116</v>
      </c>
      <c r="D43" s="20" t="s">
        <v>117</v>
      </c>
      <c r="E43" s="20" t="s">
        <v>16</v>
      </c>
      <c r="F43" s="21" t="s">
        <v>31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2" t="s">
        <v>25</v>
      </c>
      <c r="B44" s="23" t="s">
        <v>62</v>
      </c>
      <c r="C44" s="23" t="s">
        <v>118</v>
      </c>
      <c r="D44" s="23" t="s">
        <v>119</v>
      </c>
      <c r="E44" s="23" t="s">
        <v>13</v>
      </c>
      <c r="F44" s="24" t="s">
        <v>31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2" t="s">
        <v>28</v>
      </c>
      <c r="B45" s="23" t="s">
        <v>120</v>
      </c>
      <c r="C45" s="23" t="s">
        <v>121</v>
      </c>
      <c r="D45" s="23" t="s">
        <v>122</v>
      </c>
      <c r="E45" s="23" t="s">
        <v>48</v>
      </c>
      <c r="F45" s="24" t="s">
        <v>17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19" t="s">
        <v>32</v>
      </c>
      <c r="B46" s="20" t="s">
        <v>62</v>
      </c>
      <c r="C46" s="20" t="s">
        <v>123</v>
      </c>
      <c r="D46" s="20" t="s">
        <v>124</v>
      </c>
      <c r="E46" s="20" t="s">
        <v>13</v>
      </c>
      <c r="F46" s="21" t="s">
        <v>35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2" t="s">
        <v>36</v>
      </c>
      <c r="B47" s="23" t="s">
        <v>120</v>
      </c>
      <c r="C47" s="23" t="s">
        <v>125</v>
      </c>
      <c r="D47" s="23" t="s">
        <v>126</v>
      </c>
      <c r="E47" s="23" t="s">
        <v>48</v>
      </c>
      <c r="F47" s="24" t="s">
        <v>31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25" t="s">
        <v>127</v>
      </c>
      <c r="B48" s="26"/>
      <c r="C48" s="26"/>
      <c r="D48" s="26"/>
      <c r="E48" s="26"/>
      <c r="F48" s="2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8" t="s">
        <v>6</v>
      </c>
      <c r="B49" s="28" t="s">
        <v>128</v>
      </c>
      <c r="C49" s="28" t="s">
        <v>129</v>
      </c>
      <c r="D49" s="28" t="s">
        <v>130</v>
      </c>
      <c r="E49" s="8"/>
      <c r="F49" s="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9" t="s">
        <v>131</v>
      </c>
      <c r="B50" s="29" t="s">
        <v>132</v>
      </c>
      <c r="C50" s="29" t="s">
        <v>14</v>
      </c>
      <c r="D50" s="29" t="s">
        <v>133</v>
      </c>
      <c r="E50" s="8"/>
      <c r="F50" s="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1" t="s">
        <v>134</v>
      </c>
      <c r="B51" s="11" t="s">
        <v>135</v>
      </c>
      <c r="C51" s="11" t="s">
        <v>136</v>
      </c>
      <c r="D51" s="11" t="s">
        <v>137</v>
      </c>
      <c r="E51" s="8"/>
      <c r="F51" s="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9" t="s">
        <v>138</v>
      </c>
      <c r="B52" s="29" t="s">
        <v>139</v>
      </c>
      <c r="C52" s="29" t="s">
        <v>140</v>
      </c>
      <c r="D52" s="29" t="s">
        <v>141</v>
      </c>
      <c r="E52" s="8"/>
      <c r="F52" s="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1" t="s">
        <v>142</v>
      </c>
      <c r="B53" s="11" t="s">
        <v>143</v>
      </c>
      <c r="C53" s="11" t="s">
        <v>86</v>
      </c>
      <c r="D53" s="11" t="s">
        <v>144</v>
      </c>
      <c r="E53" s="8"/>
      <c r="F53" s="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9" t="s">
        <v>145</v>
      </c>
      <c r="B54" s="29" t="s">
        <v>146</v>
      </c>
      <c r="C54" s="29" t="s">
        <v>147</v>
      </c>
      <c r="D54" s="29" t="s">
        <v>148</v>
      </c>
      <c r="E54" s="8"/>
      <c r="F54" s="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1" t="s">
        <v>149</v>
      </c>
      <c r="B55" s="11" t="s">
        <v>150</v>
      </c>
      <c r="C55" s="11" t="s">
        <v>151</v>
      </c>
      <c r="D55" s="11" t="s">
        <v>152</v>
      </c>
      <c r="E55" s="8"/>
      <c r="F55" s="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9" t="s">
        <v>153</v>
      </c>
      <c r="B56" s="29" t="s">
        <v>154</v>
      </c>
      <c r="C56" s="29" t="s">
        <v>155</v>
      </c>
      <c r="D56" s="29" t="s">
        <v>156</v>
      </c>
      <c r="E56" s="8"/>
      <c r="F56" s="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1" t="s">
        <v>157</v>
      </c>
      <c r="B57" s="11" t="s">
        <v>158</v>
      </c>
      <c r="C57" s="11" t="s">
        <v>159</v>
      </c>
      <c r="D57" s="11" t="s">
        <v>160</v>
      </c>
      <c r="E57" s="8"/>
      <c r="F57" s="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9" t="s">
        <v>161</v>
      </c>
      <c r="B58" s="29" t="s">
        <v>162</v>
      </c>
      <c r="C58" s="29" t="s">
        <v>163</v>
      </c>
      <c r="D58" s="29" t="s">
        <v>164</v>
      </c>
      <c r="E58" s="8"/>
      <c r="F58" s="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1" t="s">
        <v>165</v>
      </c>
      <c r="B59" s="11" t="s">
        <v>166</v>
      </c>
      <c r="C59" s="11" t="s">
        <v>167</v>
      </c>
      <c r="D59" s="11" t="s">
        <v>168</v>
      </c>
      <c r="E59" s="8"/>
      <c r="F59" s="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8"/>
      <c r="B60" s="8"/>
      <c r="C60" s="8"/>
      <c r="D60" s="8"/>
      <c r="E60" s="8"/>
      <c r="F60" s="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8"/>
      <c r="B61" s="8"/>
      <c r="C61" s="8"/>
      <c r="D61" s="8"/>
      <c r="E61" s="8"/>
      <c r="F61" s="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3" t="s">
        <v>52</v>
      </c>
      <c r="B62" s="8"/>
      <c r="C62" s="8"/>
      <c r="D62" s="8"/>
      <c r="E62" s="8"/>
      <c r="F62" s="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4" t="s">
        <v>131</v>
      </c>
      <c r="B63" s="15" t="s">
        <v>169</v>
      </c>
      <c r="C63" s="15" t="s">
        <v>170</v>
      </c>
      <c r="D63" s="15" t="s">
        <v>171</v>
      </c>
      <c r="E63" s="8"/>
      <c r="F63" s="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6" t="s">
        <v>134</v>
      </c>
      <c r="B64" s="17" t="s">
        <v>172</v>
      </c>
      <c r="C64" s="17" t="s">
        <v>173</v>
      </c>
      <c r="D64" s="17" t="s">
        <v>174</v>
      </c>
      <c r="E64" s="8"/>
      <c r="F64" s="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4" t="s">
        <v>138</v>
      </c>
      <c r="B65" s="15" t="s">
        <v>175</v>
      </c>
      <c r="C65" s="15" t="s">
        <v>159</v>
      </c>
      <c r="D65" s="15" t="s">
        <v>176</v>
      </c>
      <c r="E65" s="8"/>
      <c r="F65" s="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6" t="s">
        <v>142</v>
      </c>
      <c r="B66" s="17" t="s">
        <v>177</v>
      </c>
      <c r="C66" s="17" t="s">
        <v>178</v>
      </c>
      <c r="D66" s="17" t="s">
        <v>179</v>
      </c>
      <c r="E66" s="8"/>
      <c r="F66" s="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4" t="s">
        <v>145</v>
      </c>
      <c r="B67" s="15" t="s">
        <v>180</v>
      </c>
      <c r="C67" s="15" t="s">
        <v>181</v>
      </c>
      <c r="D67" s="15" t="s">
        <v>182</v>
      </c>
      <c r="E67" s="8"/>
      <c r="F67" s="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6" t="s">
        <v>149</v>
      </c>
      <c r="B68" s="17" t="s">
        <v>183</v>
      </c>
      <c r="C68" s="17" t="s">
        <v>181</v>
      </c>
      <c r="D68" s="17" t="s">
        <v>184</v>
      </c>
      <c r="E68" s="8"/>
      <c r="F68" s="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4" t="s">
        <v>153</v>
      </c>
      <c r="B69" s="15" t="s">
        <v>185</v>
      </c>
      <c r="C69" s="15" t="s">
        <v>181</v>
      </c>
      <c r="D69" s="15" t="s">
        <v>186</v>
      </c>
      <c r="E69" s="8"/>
      <c r="F69" s="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6" t="s">
        <v>157</v>
      </c>
      <c r="B70" s="17" t="s">
        <v>187</v>
      </c>
      <c r="C70" s="17" t="s">
        <v>188</v>
      </c>
      <c r="D70" s="17" t="s">
        <v>189</v>
      </c>
      <c r="E70" s="8"/>
      <c r="F70" s="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4" t="s">
        <v>161</v>
      </c>
      <c r="B71" s="15" t="s">
        <v>190</v>
      </c>
      <c r="C71" s="15" t="s">
        <v>93</v>
      </c>
      <c r="D71" s="15" t="s">
        <v>191</v>
      </c>
      <c r="E71" s="8"/>
      <c r="F71" s="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6" t="s">
        <v>165</v>
      </c>
      <c r="B72" s="17" t="s">
        <v>192</v>
      </c>
      <c r="C72" s="17" t="s">
        <v>193</v>
      </c>
      <c r="D72" s="17" t="s">
        <v>194</v>
      </c>
      <c r="E72" s="8"/>
      <c r="F72" s="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0"/>
      <c r="B73" s="30"/>
      <c r="C73" s="30"/>
      <c r="D73" s="30"/>
      <c r="E73" s="8"/>
      <c r="F73" s="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1" t="s">
        <v>111</v>
      </c>
      <c r="B74" s="8"/>
      <c r="C74" s="8"/>
      <c r="D74" s="8"/>
      <c r="E74" s="8"/>
      <c r="F74" s="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9" t="s">
        <v>131</v>
      </c>
      <c r="B75" s="20" t="s">
        <v>195</v>
      </c>
      <c r="C75" s="20" t="s">
        <v>86</v>
      </c>
      <c r="D75" s="32" t="s">
        <v>196</v>
      </c>
      <c r="E75" s="8"/>
      <c r="F75" s="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2" t="s">
        <v>134</v>
      </c>
      <c r="B76" s="23" t="s">
        <v>197</v>
      </c>
      <c r="C76" s="23" t="s">
        <v>198</v>
      </c>
      <c r="D76" s="33" t="s">
        <v>199</v>
      </c>
      <c r="E76" s="8"/>
      <c r="F76" s="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9" t="s">
        <v>138</v>
      </c>
      <c r="B77" s="20" t="s">
        <v>112</v>
      </c>
      <c r="C77" s="20" t="s">
        <v>200</v>
      </c>
      <c r="D77" s="32" t="s">
        <v>201</v>
      </c>
      <c r="E77" s="8"/>
      <c r="F77" s="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2" t="s">
        <v>142</v>
      </c>
      <c r="B78" s="23" t="s">
        <v>202</v>
      </c>
      <c r="C78" s="23" t="s">
        <v>203</v>
      </c>
      <c r="D78" s="33" t="s">
        <v>204</v>
      </c>
      <c r="E78" s="8"/>
      <c r="F78" s="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9" t="s">
        <v>145</v>
      </c>
      <c r="B79" s="20" t="s">
        <v>205</v>
      </c>
      <c r="C79" s="20" t="s">
        <v>206</v>
      </c>
      <c r="D79" s="32" t="s">
        <v>207</v>
      </c>
      <c r="E79" s="8"/>
      <c r="F79" s="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2" t="s">
        <v>149</v>
      </c>
      <c r="B80" s="23" t="s">
        <v>208</v>
      </c>
      <c r="C80" s="23" t="s">
        <v>86</v>
      </c>
      <c r="D80" s="33" t="s">
        <v>209</v>
      </c>
      <c r="E80" s="8"/>
      <c r="F80" s="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3"/>
      <c r="B81" s="8"/>
      <c r="C81" s="8"/>
      <c r="D81" s="8"/>
      <c r="E81" s="8"/>
      <c r="F81" s="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3"/>
      <c r="B82" s="8"/>
      <c r="C82" s="8"/>
      <c r="D82" s="8"/>
      <c r="E82" s="8"/>
      <c r="F82" s="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34" t="s">
        <v>210</v>
      </c>
      <c r="B83" s="2"/>
      <c r="C83" s="2"/>
      <c r="D83" s="2"/>
      <c r="E83" s="2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5" t="s">
        <v>6</v>
      </c>
      <c r="B84" s="35" t="s">
        <v>211</v>
      </c>
      <c r="C84" s="35" t="s">
        <v>212</v>
      </c>
      <c r="D84" s="35" t="s">
        <v>213</v>
      </c>
      <c r="E84" s="35" t="s">
        <v>11</v>
      </c>
      <c r="F84" s="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1" t="s">
        <v>214</v>
      </c>
      <c r="B85" s="11" t="s">
        <v>215</v>
      </c>
      <c r="C85" s="11" t="s">
        <v>216</v>
      </c>
      <c r="D85" s="11" t="s">
        <v>217</v>
      </c>
      <c r="E85" s="11" t="s">
        <v>17</v>
      </c>
      <c r="F85" s="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6" t="s">
        <v>218</v>
      </c>
      <c r="B86" s="36" t="s">
        <v>219</v>
      </c>
      <c r="C86" s="36" t="s">
        <v>220</v>
      </c>
      <c r="D86" s="36" t="s">
        <v>221</v>
      </c>
      <c r="E86" s="36" t="s">
        <v>31</v>
      </c>
      <c r="F86" s="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1" t="s">
        <v>222</v>
      </c>
      <c r="B87" s="11" t="s">
        <v>223</v>
      </c>
      <c r="C87" s="11" t="s">
        <v>224</v>
      </c>
      <c r="D87" s="11" t="s">
        <v>225</v>
      </c>
      <c r="E87" s="11" t="s">
        <v>17</v>
      </c>
      <c r="F87" s="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6" t="s">
        <v>226</v>
      </c>
      <c r="B88" s="36" t="s">
        <v>227</v>
      </c>
      <c r="C88" s="36" t="s">
        <v>228</v>
      </c>
      <c r="D88" s="36" t="s">
        <v>229</v>
      </c>
      <c r="E88" s="36" t="s">
        <v>17</v>
      </c>
      <c r="F88" s="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1" t="s">
        <v>230</v>
      </c>
      <c r="B89" s="11" t="s">
        <v>231</v>
      </c>
      <c r="C89" s="11" t="s">
        <v>232</v>
      </c>
      <c r="D89" s="11" t="s">
        <v>233</v>
      </c>
      <c r="E89" s="11" t="s">
        <v>35</v>
      </c>
      <c r="F89" s="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6" t="s">
        <v>234</v>
      </c>
      <c r="B90" s="36" t="s">
        <v>235</v>
      </c>
      <c r="C90" s="36" t="s">
        <v>236</v>
      </c>
      <c r="D90" s="36" t="s">
        <v>237</v>
      </c>
      <c r="E90" s="36" t="s">
        <v>31</v>
      </c>
      <c r="F90" s="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1" t="s">
        <v>238</v>
      </c>
      <c r="B91" s="11" t="s">
        <v>239</v>
      </c>
      <c r="C91" s="11" t="s">
        <v>240</v>
      </c>
      <c r="D91" s="11" t="s">
        <v>241</v>
      </c>
      <c r="E91" s="11" t="s">
        <v>35</v>
      </c>
      <c r="F91" s="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6" t="s">
        <v>242</v>
      </c>
      <c r="B92" s="36" t="s">
        <v>243</v>
      </c>
      <c r="C92" s="36" t="s">
        <v>244</v>
      </c>
      <c r="D92" s="36" t="s">
        <v>245</v>
      </c>
      <c r="E92" s="36" t="s">
        <v>35</v>
      </c>
      <c r="F92" s="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7" t="s">
        <v>52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14" t="s">
        <v>214</v>
      </c>
      <c r="B96" s="15" t="s">
        <v>219</v>
      </c>
      <c r="C96" s="15" t="s">
        <v>246</v>
      </c>
      <c r="D96" s="15" t="s">
        <v>247</v>
      </c>
      <c r="E96" s="15" t="s">
        <v>31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6" t="s">
        <v>218</v>
      </c>
      <c r="B97" s="17" t="s">
        <v>235</v>
      </c>
      <c r="C97" s="17" t="s">
        <v>248</v>
      </c>
      <c r="D97" s="17" t="s">
        <v>237</v>
      </c>
      <c r="E97" s="17" t="s">
        <v>31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4" t="s">
        <v>222</v>
      </c>
      <c r="B98" s="15" t="s">
        <v>249</v>
      </c>
      <c r="C98" s="15" t="s">
        <v>250</v>
      </c>
      <c r="D98" s="15" t="s">
        <v>251</v>
      </c>
      <c r="E98" s="15" t="s">
        <v>17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6" t="s">
        <v>226</v>
      </c>
      <c r="B99" s="17" t="s">
        <v>215</v>
      </c>
      <c r="C99" s="17" t="s">
        <v>252</v>
      </c>
      <c r="D99" s="17" t="s">
        <v>253</v>
      </c>
      <c r="E99" s="17" t="s">
        <v>17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4" t="s">
        <v>230</v>
      </c>
      <c r="B100" s="15" t="s">
        <v>227</v>
      </c>
      <c r="C100" s="15" t="s">
        <v>254</v>
      </c>
      <c r="D100" s="15" t="s">
        <v>229</v>
      </c>
      <c r="E100" s="15" t="s">
        <v>35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6" t="s">
        <v>234</v>
      </c>
      <c r="B101" s="17" t="s">
        <v>223</v>
      </c>
      <c r="C101" s="17" t="s">
        <v>255</v>
      </c>
      <c r="D101" s="17" t="s">
        <v>225</v>
      </c>
      <c r="E101" s="17" t="s">
        <v>17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8" t="s">
        <v>111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9" t="s">
        <v>214</v>
      </c>
      <c r="B104" s="20" t="s">
        <v>219</v>
      </c>
      <c r="C104" s="20" t="s">
        <v>256</v>
      </c>
      <c r="D104" s="20" t="s">
        <v>257</v>
      </c>
      <c r="E104" s="21" t="s">
        <v>31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0" t="s">
        <v>218</v>
      </c>
      <c r="B105" s="23" t="s">
        <v>219</v>
      </c>
      <c r="C105" s="23" t="s">
        <v>258</v>
      </c>
      <c r="D105" s="23" t="s">
        <v>259</v>
      </c>
      <c r="E105" s="24" t="s">
        <v>31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9" t="s">
        <v>222</v>
      </c>
      <c r="B106" s="20" t="s">
        <v>215</v>
      </c>
      <c r="C106" s="20" t="s">
        <v>260</v>
      </c>
      <c r="D106" s="20" t="s">
        <v>261</v>
      </c>
      <c r="E106" s="21" t="s">
        <v>17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0" t="s">
        <v>226</v>
      </c>
      <c r="B107" s="23" t="s">
        <v>262</v>
      </c>
      <c r="C107" s="23" t="s">
        <v>263</v>
      </c>
      <c r="D107" s="23" t="s">
        <v>264</v>
      </c>
      <c r="E107" s="24" t="s">
        <v>17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9" t="s">
        <v>230</v>
      </c>
      <c r="B108" s="20" t="s">
        <v>265</v>
      </c>
      <c r="C108" s="20" t="s">
        <v>266</v>
      </c>
      <c r="D108" s="20" t="s">
        <v>267</v>
      </c>
      <c r="E108" s="21" t="s">
        <v>31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</sheetData>
  <mergeCells count="6">
    <mergeCell ref="A1:F1"/>
    <mergeCell ref="B2:F2"/>
    <mergeCell ref="B3:F3"/>
    <mergeCell ref="A5:F5"/>
    <mergeCell ref="A83:F83"/>
    <mergeCell ref="A48:F4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86.57"/>
    <col customWidth="1" min="3" max="3" width="18.0"/>
    <col customWidth="1" min="4" max="5" width="25.0"/>
    <col customWidth="1" min="6" max="6" width="20.0"/>
    <col customWidth="1" min="7" max="7" width="18.0"/>
    <col customWidth="1" min="8" max="26" width="8.71"/>
  </cols>
  <sheetData>
    <row r="1" ht="24.0" customHeight="1">
      <c r="A1" s="1" t="s">
        <v>268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/>
      <c r="B2" s="8"/>
      <c r="C2" s="8"/>
      <c r="D2" s="8"/>
      <c r="E2" s="8"/>
      <c r="F2" s="8"/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9" t="s">
        <v>269</v>
      </c>
      <c r="B3" s="2"/>
      <c r="C3" s="2"/>
      <c r="D3" s="2"/>
      <c r="E3" s="2"/>
      <c r="F3" s="2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3.75" customHeight="1">
      <c r="A4" s="10" t="s">
        <v>270</v>
      </c>
      <c r="B4" s="10" t="s">
        <v>271</v>
      </c>
      <c r="C4" s="8"/>
      <c r="D4" s="8"/>
      <c r="E4" s="8"/>
      <c r="F4" s="8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11" t="s">
        <v>272</v>
      </c>
      <c r="B5" s="11" t="s">
        <v>273</v>
      </c>
      <c r="C5" s="8"/>
      <c r="D5" s="8"/>
      <c r="E5" s="8"/>
      <c r="F5" s="8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12" t="s">
        <v>274</v>
      </c>
      <c r="B6" s="12" t="s">
        <v>275</v>
      </c>
      <c r="C6" s="8"/>
      <c r="D6" s="8"/>
      <c r="E6" s="8"/>
      <c r="F6" s="8"/>
      <c r="G6" s="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11" t="s">
        <v>276</v>
      </c>
      <c r="B7" s="11" t="s">
        <v>277</v>
      </c>
      <c r="C7" s="8"/>
      <c r="D7" s="8"/>
      <c r="E7" s="8"/>
      <c r="F7" s="8"/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75" customHeight="1">
      <c r="A8" s="12" t="s">
        <v>278</v>
      </c>
      <c r="B8" s="12" t="s">
        <v>279</v>
      </c>
      <c r="C8" s="8"/>
      <c r="D8" s="8"/>
      <c r="E8" s="8"/>
      <c r="F8" s="8"/>
      <c r="G8" s="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3.75" customHeight="1">
      <c r="A9" s="11" t="s">
        <v>280</v>
      </c>
      <c r="B9" s="11" t="s">
        <v>281</v>
      </c>
      <c r="C9" s="8"/>
      <c r="D9" s="8"/>
      <c r="E9" s="8"/>
      <c r="F9" s="8"/>
      <c r="G9" s="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12" t="s">
        <v>282</v>
      </c>
      <c r="B10" s="12" t="s">
        <v>283</v>
      </c>
      <c r="C10" s="8"/>
      <c r="D10" s="8"/>
      <c r="E10" s="8"/>
      <c r="F10" s="8"/>
      <c r="G10" s="8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3.75" customHeight="1">
      <c r="A11" s="11" t="s">
        <v>284</v>
      </c>
      <c r="B11" s="11" t="s">
        <v>285</v>
      </c>
      <c r="C11" s="8"/>
      <c r="D11" s="8"/>
      <c r="E11" s="8"/>
      <c r="F11" s="8"/>
      <c r="G11" s="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3.75" customHeight="1">
      <c r="A12" s="12" t="s">
        <v>286</v>
      </c>
      <c r="B12" s="12" t="s">
        <v>287</v>
      </c>
      <c r="C12" s="8"/>
      <c r="D12" s="8"/>
      <c r="E12" s="8"/>
      <c r="F12" s="8"/>
      <c r="G12" s="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3.75" customHeight="1">
      <c r="A13" s="11" t="s">
        <v>288</v>
      </c>
      <c r="B13" s="11" t="s">
        <v>289</v>
      </c>
      <c r="C13" s="8"/>
      <c r="D13" s="8"/>
      <c r="E13" s="8"/>
      <c r="F13" s="8"/>
      <c r="G13" s="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75" customHeight="1">
      <c r="A14" s="12" t="s">
        <v>290</v>
      </c>
      <c r="B14" s="12" t="s">
        <v>291</v>
      </c>
      <c r="C14" s="8"/>
      <c r="D14" s="8"/>
      <c r="E14" s="8"/>
      <c r="F14" s="8"/>
      <c r="G14" s="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3.75" customHeight="1">
      <c r="A15" s="11" t="s">
        <v>292</v>
      </c>
      <c r="B15" s="11" t="s">
        <v>293</v>
      </c>
      <c r="C15" s="8"/>
      <c r="D15" s="8"/>
      <c r="E15" s="8"/>
      <c r="F15" s="8"/>
      <c r="G15" s="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75" customHeight="1">
      <c r="A16" s="8"/>
      <c r="B16" s="8"/>
      <c r="C16" s="8"/>
      <c r="D16" s="8"/>
      <c r="E16" s="8"/>
      <c r="F16" s="8"/>
      <c r="G16" s="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75" customHeight="1">
      <c r="A17" s="41" t="s">
        <v>294</v>
      </c>
      <c r="B17" s="2"/>
      <c r="C17" s="2"/>
      <c r="D17" s="2"/>
      <c r="E17" s="2"/>
      <c r="F17" s="2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75" customHeight="1">
      <c r="A18" s="28" t="s">
        <v>295</v>
      </c>
      <c r="B18" s="28" t="s">
        <v>271</v>
      </c>
      <c r="C18" s="28" t="s">
        <v>296</v>
      </c>
      <c r="D18" s="28" t="s">
        <v>297</v>
      </c>
      <c r="E18" s="28" t="s">
        <v>290</v>
      </c>
      <c r="F18" s="28" t="s">
        <v>298</v>
      </c>
      <c r="G18" s="28" t="s">
        <v>299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3.75" customHeight="1">
      <c r="A19" s="11" t="s">
        <v>300</v>
      </c>
      <c r="B19" s="11" t="s">
        <v>301</v>
      </c>
      <c r="C19" s="11" t="s">
        <v>302</v>
      </c>
      <c r="D19" s="11" t="s">
        <v>303</v>
      </c>
      <c r="E19" s="11" t="s">
        <v>304</v>
      </c>
      <c r="F19" s="11" t="s">
        <v>305</v>
      </c>
      <c r="G19" s="11" t="s">
        <v>306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75" customHeight="1">
      <c r="A20" s="29" t="s">
        <v>307</v>
      </c>
      <c r="B20" s="29" t="s">
        <v>308</v>
      </c>
      <c r="C20" s="29" t="s">
        <v>309</v>
      </c>
      <c r="D20" s="29" t="s">
        <v>310</v>
      </c>
      <c r="E20" s="29" t="s">
        <v>311</v>
      </c>
      <c r="F20" s="29" t="s">
        <v>312</v>
      </c>
      <c r="G20" s="29" t="s">
        <v>313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75" customHeight="1">
      <c r="A21" s="11" t="s">
        <v>314</v>
      </c>
      <c r="B21" s="11" t="s">
        <v>315</v>
      </c>
      <c r="C21" s="11" t="s">
        <v>8</v>
      </c>
      <c r="D21" s="11" t="s">
        <v>316</v>
      </c>
      <c r="E21" s="11" t="s">
        <v>317</v>
      </c>
      <c r="F21" s="11" t="s">
        <v>318</v>
      </c>
      <c r="G21" s="11" t="s">
        <v>313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75" customHeight="1">
      <c r="A22" s="29" t="s">
        <v>319</v>
      </c>
      <c r="B22" s="29" t="s">
        <v>320</v>
      </c>
      <c r="C22" s="29" t="s">
        <v>48</v>
      </c>
      <c r="D22" s="29" t="s">
        <v>321</v>
      </c>
      <c r="E22" s="29" t="s">
        <v>322</v>
      </c>
      <c r="F22" s="29" t="s">
        <v>318</v>
      </c>
      <c r="G22" s="29" t="s">
        <v>313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3.75" customHeight="1">
      <c r="A23" s="11" t="s">
        <v>323</v>
      </c>
      <c r="B23" s="11" t="s">
        <v>324</v>
      </c>
      <c r="C23" s="11" t="s">
        <v>325</v>
      </c>
      <c r="D23" s="11" t="s">
        <v>326</v>
      </c>
      <c r="E23" s="11" t="s">
        <v>327</v>
      </c>
      <c r="F23" s="11" t="s">
        <v>318</v>
      </c>
      <c r="G23" s="11" t="s">
        <v>306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3.75" customHeight="1">
      <c r="A24" s="29" t="s">
        <v>328</v>
      </c>
      <c r="B24" s="29" t="s">
        <v>329</v>
      </c>
      <c r="C24" s="29" t="s">
        <v>330</v>
      </c>
      <c r="D24" s="29" t="s">
        <v>331</v>
      </c>
      <c r="E24" s="29" t="s">
        <v>332</v>
      </c>
      <c r="F24" s="29" t="s">
        <v>333</v>
      </c>
      <c r="G24" s="29" t="s">
        <v>306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3.75" customHeight="1">
      <c r="A25" s="8"/>
      <c r="B25" s="8"/>
      <c r="C25" s="8"/>
      <c r="D25" s="8"/>
      <c r="E25" s="8"/>
      <c r="F25" s="8"/>
      <c r="G25" s="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3.75" customHeight="1">
      <c r="A26" s="34" t="s">
        <v>334</v>
      </c>
      <c r="B26" s="2"/>
      <c r="C26" s="2"/>
      <c r="D26" s="2"/>
      <c r="E26" s="2"/>
      <c r="F26" s="2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75" customHeight="1">
      <c r="A27" s="35" t="s">
        <v>335</v>
      </c>
      <c r="B27" s="35" t="s">
        <v>271</v>
      </c>
      <c r="C27" s="8"/>
      <c r="D27" s="8"/>
      <c r="E27" s="8"/>
      <c r="F27" s="8"/>
      <c r="G27" s="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75" customHeight="1">
      <c r="A28" s="36" t="s">
        <v>336</v>
      </c>
      <c r="B28" s="36" t="s">
        <v>337</v>
      </c>
      <c r="C28" s="8"/>
      <c r="D28" s="8"/>
      <c r="E28" s="8"/>
      <c r="F28" s="8"/>
      <c r="G28" s="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75" customHeight="1">
      <c r="A29" s="11" t="s">
        <v>338</v>
      </c>
      <c r="B29" s="11" t="s">
        <v>339</v>
      </c>
      <c r="C29" s="8"/>
      <c r="D29" s="8"/>
      <c r="E29" s="8"/>
      <c r="F29" s="8"/>
      <c r="G29" s="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75" customHeight="1">
      <c r="A30" s="36" t="s">
        <v>340</v>
      </c>
      <c r="B30" s="36" t="s">
        <v>341</v>
      </c>
      <c r="C30" s="8"/>
      <c r="D30" s="8"/>
      <c r="E30" s="8"/>
      <c r="F30" s="8"/>
      <c r="G30" s="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75" customHeight="1">
      <c r="A31" s="11" t="s">
        <v>342</v>
      </c>
      <c r="B31" s="11" t="s">
        <v>343</v>
      </c>
      <c r="C31" s="8"/>
      <c r="D31" s="8"/>
      <c r="E31" s="8"/>
      <c r="F31" s="8"/>
      <c r="G31" s="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75" customHeight="1">
      <c r="A32" s="36" t="s">
        <v>344</v>
      </c>
      <c r="B32" s="36" t="s">
        <v>345</v>
      </c>
      <c r="C32" s="8"/>
      <c r="D32" s="8"/>
      <c r="E32" s="8"/>
      <c r="F32" s="8"/>
      <c r="G32" s="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75" customHeight="1">
      <c r="A33" s="11" t="s">
        <v>346</v>
      </c>
      <c r="B33" s="11" t="s">
        <v>347</v>
      </c>
      <c r="C33" s="8"/>
      <c r="D33" s="8"/>
      <c r="E33" s="8"/>
      <c r="F33" s="8"/>
      <c r="G33" s="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G1"/>
    <mergeCell ref="A3:G3"/>
    <mergeCell ref="A17:G17"/>
    <mergeCell ref="A26:G2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6.0"/>
    <col customWidth="1" min="3" max="3" width="36.0"/>
    <col customWidth="1" min="4" max="4" width="85.0"/>
    <col customWidth="1" min="5" max="5" width="60.86"/>
    <col customWidth="1" min="6" max="6" width="24.0"/>
    <col customWidth="1" min="7" max="7" width="12.0"/>
    <col customWidth="1" min="8" max="26" width="8.71"/>
  </cols>
  <sheetData>
    <row r="1" ht="24.0" customHeight="1">
      <c r="A1" s="1" t="s">
        <v>348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349</v>
      </c>
      <c r="B2" s="6" t="s">
        <v>350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/>
      <c r="B3" s="8"/>
      <c r="C3" s="8"/>
      <c r="D3" s="8"/>
      <c r="E3" s="8"/>
      <c r="F3" s="8"/>
      <c r="G3" s="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9" t="s">
        <v>351</v>
      </c>
      <c r="B4" s="2"/>
      <c r="C4" s="2"/>
      <c r="D4" s="2"/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7.5" customHeight="1">
      <c r="A5" s="10" t="s">
        <v>352</v>
      </c>
      <c r="B5" s="10" t="s">
        <v>353</v>
      </c>
      <c r="C5" s="10" t="s">
        <v>354</v>
      </c>
      <c r="D5" s="10" t="s">
        <v>355</v>
      </c>
      <c r="E5" s="10" t="s">
        <v>356</v>
      </c>
      <c r="F5" s="10" t="s">
        <v>357</v>
      </c>
      <c r="G5" s="10" t="s">
        <v>11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7.5" customHeight="1">
      <c r="A6" s="12" t="s">
        <v>358</v>
      </c>
      <c r="B6" s="12" t="s">
        <v>309</v>
      </c>
      <c r="C6" s="12" t="s">
        <v>14</v>
      </c>
      <c r="D6" s="12" t="s">
        <v>359</v>
      </c>
      <c r="E6" s="12" t="s">
        <v>360</v>
      </c>
      <c r="F6" s="12" t="s">
        <v>361</v>
      </c>
      <c r="G6" s="12" t="s">
        <v>31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7.5" customHeight="1">
      <c r="A7" s="11" t="s">
        <v>362</v>
      </c>
      <c r="B7" s="11" t="s">
        <v>309</v>
      </c>
      <c r="C7" s="11" t="s">
        <v>363</v>
      </c>
      <c r="D7" s="11" t="s">
        <v>364</v>
      </c>
      <c r="E7" s="11" t="s">
        <v>365</v>
      </c>
      <c r="F7" s="11" t="s">
        <v>366</v>
      </c>
      <c r="G7" s="11" t="s">
        <v>31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12" t="s">
        <v>367</v>
      </c>
      <c r="B8" s="12" t="s">
        <v>8</v>
      </c>
      <c r="C8" s="12" t="s">
        <v>368</v>
      </c>
      <c r="D8" s="12" t="s">
        <v>369</v>
      </c>
      <c r="E8" s="12" t="s">
        <v>370</v>
      </c>
      <c r="F8" s="12" t="s">
        <v>371</v>
      </c>
      <c r="G8" s="12" t="s">
        <v>17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7.5" customHeight="1">
      <c r="A9" s="11" t="s">
        <v>372</v>
      </c>
      <c r="B9" s="11" t="s">
        <v>8</v>
      </c>
      <c r="C9" s="11" t="s">
        <v>373</v>
      </c>
      <c r="D9" s="11" t="s">
        <v>374</v>
      </c>
      <c r="E9" s="11" t="s">
        <v>375</v>
      </c>
      <c r="F9" s="11" t="s">
        <v>366</v>
      </c>
      <c r="G9" s="11" t="s">
        <v>17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7.5" customHeight="1">
      <c r="A10" s="12" t="s">
        <v>376</v>
      </c>
      <c r="B10" s="12" t="s">
        <v>309</v>
      </c>
      <c r="C10" s="12" t="s">
        <v>377</v>
      </c>
      <c r="D10" s="12" t="s">
        <v>378</v>
      </c>
      <c r="E10" s="12" t="s">
        <v>379</v>
      </c>
      <c r="F10" s="12" t="s">
        <v>380</v>
      </c>
      <c r="G10" s="12" t="s">
        <v>31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11" t="s">
        <v>381</v>
      </c>
      <c r="B11" s="11" t="s">
        <v>309</v>
      </c>
      <c r="C11" s="11" t="s">
        <v>382</v>
      </c>
      <c r="D11" s="11" t="s">
        <v>383</v>
      </c>
      <c r="E11" s="11" t="s">
        <v>384</v>
      </c>
      <c r="F11" s="11" t="s">
        <v>385</v>
      </c>
      <c r="G11" s="11" t="s">
        <v>31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12" t="s">
        <v>386</v>
      </c>
      <c r="B12" s="12" t="s">
        <v>8</v>
      </c>
      <c r="C12" s="12" t="s">
        <v>387</v>
      </c>
      <c r="D12" s="12" t="s">
        <v>388</v>
      </c>
      <c r="E12" s="12" t="s">
        <v>389</v>
      </c>
      <c r="F12" s="12" t="s">
        <v>390</v>
      </c>
      <c r="G12" s="12" t="s">
        <v>35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11" t="s">
        <v>391</v>
      </c>
      <c r="B13" s="11" t="s">
        <v>8</v>
      </c>
      <c r="C13" s="11" t="s">
        <v>392</v>
      </c>
      <c r="D13" s="11" t="s">
        <v>393</v>
      </c>
      <c r="E13" s="11" t="s">
        <v>394</v>
      </c>
      <c r="F13" s="11" t="s">
        <v>395</v>
      </c>
      <c r="G13" s="11" t="s">
        <v>31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7.5" customHeight="1">
      <c r="A14" s="12" t="s">
        <v>396</v>
      </c>
      <c r="B14" s="12" t="s">
        <v>8</v>
      </c>
      <c r="C14" s="12" t="s">
        <v>397</v>
      </c>
      <c r="D14" s="12" t="s">
        <v>398</v>
      </c>
      <c r="E14" s="12" t="s">
        <v>399</v>
      </c>
      <c r="F14" s="12" t="s">
        <v>400</v>
      </c>
      <c r="G14" s="12" t="s">
        <v>17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7.5" customHeight="1">
      <c r="A15" s="11" t="s">
        <v>401</v>
      </c>
      <c r="B15" s="11" t="s">
        <v>309</v>
      </c>
      <c r="C15" s="11" t="s">
        <v>402</v>
      </c>
      <c r="D15" s="11" t="s">
        <v>403</v>
      </c>
      <c r="E15" s="11" t="s">
        <v>404</v>
      </c>
      <c r="F15" s="11" t="s">
        <v>405</v>
      </c>
      <c r="G15" s="11" t="s">
        <v>17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7.5" customHeight="1">
      <c r="A16" s="12" t="s">
        <v>406</v>
      </c>
      <c r="B16" s="12" t="s">
        <v>407</v>
      </c>
      <c r="C16" s="12" t="s">
        <v>408</v>
      </c>
      <c r="D16" s="12" t="s">
        <v>409</v>
      </c>
      <c r="E16" s="12" t="s">
        <v>410</v>
      </c>
      <c r="F16" s="12" t="s">
        <v>411</v>
      </c>
      <c r="G16" s="12" t="s">
        <v>17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7.5" customHeight="1">
      <c r="A17" s="11" t="s">
        <v>412</v>
      </c>
      <c r="B17" s="11" t="s">
        <v>407</v>
      </c>
      <c r="C17" s="11" t="s">
        <v>413</v>
      </c>
      <c r="D17" s="11" t="s">
        <v>414</v>
      </c>
      <c r="E17" s="11" t="s">
        <v>415</v>
      </c>
      <c r="F17" s="11" t="s">
        <v>411</v>
      </c>
      <c r="G17" s="11" t="s">
        <v>17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7.5" customHeight="1">
      <c r="A18" s="12" t="s">
        <v>416</v>
      </c>
      <c r="B18" s="12" t="s">
        <v>407</v>
      </c>
      <c r="C18" s="12" t="s">
        <v>417</v>
      </c>
      <c r="D18" s="12" t="s">
        <v>418</v>
      </c>
      <c r="E18" s="12" t="s">
        <v>394</v>
      </c>
      <c r="F18" s="12" t="s">
        <v>419</v>
      </c>
      <c r="G18" s="12" t="s">
        <v>35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7.5" customHeight="1">
      <c r="A19" s="11" t="s">
        <v>420</v>
      </c>
      <c r="B19" s="11" t="s">
        <v>421</v>
      </c>
      <c r="C19" s="11" t="s">
        <v>422</v>
      </c>
      <c r="D19" s="11" t="s">
        <v>423</v>
      </c>
      <c r="E19" s="11" t="s">
        <v>424</v>
      </c>
      <c r="F19" s="11" t="s">
        <v>425</v>
      </c>
      <c r="G19" s="11" t="s">
        <v>35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7.5" customHeight="1">
      <c r="A20" s="12" t="s">
        <v>426</v>
      </c>
      <c r="B20" s="12" t="s">
        <v>421</v>
      </c>
      <c r="C20" s="12" t="s">
        <v>427</v>
      </c>
      <c r="D20" s="12" t="s">
        <v>428</v>
      </c>
      <c r="E20" s="12" t="s">
        <v>429</v>
      </c>
      <c r="F20" s="12" t="s">
        <v>430</v>
      </c>
      <c r="G20" s="12" t="s">
        <v>17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7.5" customHeight="1">
      <c r="A21" s="11" t="s">
        <v>431</v>
      </c>
      <c r="B21" s="11" t="s">
        <v>421</v>
      </c>
      <c r="C21" s="11" t="s">
        <v>432</v>
      </c>
      <c r="D21" s="11" t="s">
        <v>433</v>
      </c>
      <c r="E21" s="11" t="s">
        <v>434</v>
      </c>
      <c r="F21" s="11" t="s">
        <v>435</v>
      </c>
      <c r="G21" s="11" t="s">
        <v>31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7.5" customHeight="1">
      <c r="A22" s="12" t="s">
        <v>436</v>
      </c>
      <c r="B22" s="12" t="s">
        <v>421</v>
      </c>
      <c r="C22" s="12" t="s">
        <v>249</v>
      </c>
      <c r="D22" s="12" t="s">
        <v>437</v>
      </c>
      <c r="E22" s="12" t="s">
        <v>438</v>
      </c>
      <c r="F22" s="12" t="s">
        <v>439</v>
      </c>
      <c r="G22" s="12" t="s">
        <v>17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7.5" customHeight="1">
      <c r="A23" s="11" t="s">
        <v>440</v>
      </c>
      <c r="B23" s="11" t="s">
        <v>421</v>
      </c>
      <c r="C23" s="11" t="s">
        <v>227</v>
      </c>
      <c r="D23" s="11" t="s">
        <v>441</v>
      </c>
      <c r="E23" s="11" t="s">
        <v>442</v>
      </c>
      <c r="F23" s="11" t="s">
        <v>443</v>
      </c>
      <c r="G23" s="11" t="s">
        <v>35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7.5" customHeight="1">
      <c r="A24" s="42"/>
      <c r="B24" s="42"/>
      <c r="C24" s="42"/>
      <c r="D24" s="42"/>
      <c r="E24" s="42"/>
      <c r="F24" s="42"/>
      <c r="G24" s="4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7.5" customHeight="1">
      <c r="A25" s="42"/>
      <c r="B25" s="42"/>
      <c r="C25" s="42"/>
      <c r="D25" s="42"/>
      <c r="E25" s="42"/>
      <c r="F25" s="42"/>
      <c r="G25" s="4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7.5" customHeight="1">
      <c r="A26" s="43" t="s">
        <v>52</v>
      </c>
      <c r="B26" s="42"/>
      <c r="C26" s="42"/>
      <c r="D26" s="42"/>
      <c r="E26" s="42"/>
      <c r="F26" s="42"/>
      <c r="G26" s="4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7.5" customHeight="1">
      <c r="A27" s="14" t="s">
        <v>358</v>
      </c>
      <c r="B27" s="15" t="s">
        <v>444</v>
      </c>
      <c r="C27" s="15" t="s">
        <v>445</v>
      </c>
      <c r="D27" s="15" t="s">
        <v>446</v>
      </c>
      <c r="E27" s="15" t="s">
        <v>447</v>
      </c>
      <c r="F27" s="15" t="s">
        <v>361</v>
      </c>
      <c r="G27" s="15" t="s">
        <v>31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7.5" customHeight="1">
      <c r="A28" s="16" t="s">
        <v>362</v>
      </c>
      <c r="B28" s="17" t="s">
        <v>444</v>
      </c>
      <c r="C28" s="17" t="s">
        <v>448</v>
      </c>
      <c r="D28" s="17" t="s">
        <v>449</v>
      </c>
      <c r="E28" s="17" t="s">
        <v>450</v>
      </c>
      <c r="F28" s="17" t="s">
        <v>451</v>
      </c>
      <c r="G28" s="17" t="s">
        <v>31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7.5" customHeight="1">
      <c r="A29" s="14" t="s">
        <v>367</v>
      </c>
      <c r="B29" s="15" t="s">
        <v>444</v>
      </c>
      <c r="C29" s="15" t="s">
        <v>452</v>
      </c>
      <c r="D29" s="15" t="s">
        <v>453</v>
      </c>
      <c r="E29" s="15" t="s">
        <v>454</v>
      </c>
      <c r="F29" s="15" t="s">
        <v>366</v>
      </c>
      <c r="G29" s="15" t="s">
        <v>17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7.5" customHeight="1">
      <c r="A30" s="16" t="s">
        <v>372</v>
      </c>
      <c r="B30" s="17" t="s">
        <v>444</v>
      </c>
      <c r="C30" s="17" t="s">
        <v>455</v>
      </c>
      <c r="D30" s="17" t="s">
        <v>456</v>
      </c>
      <c r="E30" s="17" t="s">
        <v>457</v>
      </c>
      <c r="F30" s="17" t="s">
        <v>458</v>
      </c>
      <c r="G30" s="17" t="s">
        <v>31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1.25" customHeight="1">
      <c r="A31" s="14" t="s">
        <v>376</v>
      </c>
      <c r="B31" s="15" t="s">
        <v>444</v>
      </c>
      <c r="C31" s="15" t="s">
        <v>459</v>
      </c>
      <c r="D31" s="15" t="s">
        <v>460</v>
      </c>
      <c r="E31" s="15" t="s">
        <v>461</v>
      </c>
      <c r="F31" s="15" t="s">
        <v>462</v>
      </c>
      <c r="G31" s="15" t="s">
        <v>31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7.5" customHeight="1">
      <c r="A32" s="16" t="s">
        <v>381</v>
      </c>
      <c r="B32" s="17" t="s">
        <v>444</v>
      </c>
      <c r="C32" s="17" t="s">
        <v>463</v>
      </c>
      <c r="D32" s="17" t="s">
        <v>464</v>
      </c>
      <c r="E32" s="17" t="s">
        <v>465</v>
      </c>
      <c r="F32" s="17" t="s">
        <v>466</v>
      </c>
      <c r="G32" s="17" t="s">
        <v>17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7.5" customHeight="1">
      <c r="A33" s="14" t="s">
        <v>386</v>
      </c>
      <c r="B33" s="15" t="s">
        <v>444</v>
      </c>
      <c r="C33" s="15" t="s">
        <v>467</v>
      </c>
      <c r="D33" s="15" t="s">
        <v>468</v>
      </c>
      <c r="E33" s="15" t="s">
        <v>469</v>
      </c>
      <c r="F33" s="15" t="s">
        <v>366</v>
      </c>
      <c r="G33" s="15" t="s">
        <v>35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7.5" customHeight="1">
      <c r="A34" s="16" t="s">
        <v>391</v>
      </c>
      <c r="B34" s="17" t="s">
        <v>309</v>
      </c>
      <c r="C34" s="17" t="s">
        <v>170</v>
      </c>
      <c r="D34" s="17" t="s">
        <v>470</v>
      </c>
      <c r="E34" s="17" t="s">
        <v>471</v>
      </c>
      <c r="F34" s="17" t="s">
        <v>366</v>
      </c>
      <c r="G34" s="17" t="s">
        <v>31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7.5" customHeight="1">
      <c r="A35" s="14" t="s">
        <v>396</v>
      </c>
      <c r="B35" s="15" t="s">
        <v>8</v>
      </c>
      <c r="C35" s="15" t="s">
        <v>472</v>
      </c>
      <c r="D35" s="15" t="s">
        <v>473</v>
      </c>
      <c r="E35" s="15" t="s">
        <v>474</v>
      </c>
      <c r="F35" s="15" t="s">
        <v>390</v>
      </c>
      <c r="G35" s="15" t="s">
        <v>17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7.5" customHeight="1">
      <c r="A36" s="16" t="s">
        <v>401</v>
      </c>
      <c r="B36" s="17" t="s">
        <v>309</v>
      </c>
      <c r="C36" s="17" t="s">
        <v>475</v>
      </c>
      <c r="D36" s="17" t="s">
        <v>476</v>
      </c>
      <c r="E36" s="17" t="s">
        <v>477</v>
      </c>
      <c r="F36" s="17" t="s">
        <v>366</v>
      </c>
      <c r="G36" s="17" t="s">
        <v>17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7.5" customHeight="1">
      <c r="A37" s="14" t="s">
        <v>406</v>
      </c>
      <c r="B37" s="15" t="s">
        <v>309</v>
      </c>
      <c r="C37" s="15" t="s">
        <v>478</v>
      </c>
      <c r="D37" s="15" t="s">
        <v>479</v>
      </c>
      <c r="E37" s="15" t="s">
        <v>480</v>
      </c>
      <c r="F37" s="15" t="s">
        <v>366</v>
      </c>
      <c r="G37" s="15" t="s">
        <v>17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7.5" customHeight="1">
      <c r="A38" s="16" t="s">
        <v>412</v>
      </c>
      <c r="B38" s="17" t="s">
        <v>309</v>
      </c>
      <c r="C38" s="17" t="s">
        <v>481</v>
      </c>
      <c r="D38" s="17" t="s">
        <v>482</v>
      </c>
      <c r="E38" s="17" t="s">
        <v>483</v>
      </c>
      <c r="F38" s="17" t="s">
        <v>380</v>
      </c>
      <c r="G38" s="17" t="s">
        <v>31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7.5" customHeight="1">
      <c r="A39" s="14" t="s">
        <v>416</v>
      </c>
      <c r="B39" s="15" t="s">
        <v>309</v>
      </c>
      <c r="C39" s="15" t="s">
        <v>484</v>
      </c>
      <c r="D39" s="15" t="s">
        <v>485</v>
      </c>
      <c r="E39" s="15" t="s">
        <v>486</v>
      </c>
      <c r="F39" s="15" t="s">
        <v>235</v>
      </c>
      <c r="G39" s="15" t="s">
        <v>31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7.5" customHeight="1">
      <c r="A40" s="16" t="s">
        <v>420</v>
      </c>
      <c r="B40" s="17" t="s">
        <v>309</v>
      </c>
      <c r="C40" s="17" t="s">
        <v>487</v>
      </c>
      <c r="D40" s="17" t="s">
        <v>488</v>
      </c>
      <c r="E40" s="17" t="s">
        <v>489</v>
      </c>
      <c r="F40" s="17" t="s">
        <v>490</v>
      </c>
      <c r="G40" s="17" t="s">
        <v>31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7.5" customHeight="1">
      <c r="A41" s="14" t="s">
        <v>426</v>
      </c>
      <c r="B41" s="15" t="s">
        <v>309</v>
      </c>
      <c r="C41" s="15" t="s">
        <v>491</v>
      </c>
      <c r="D41" s="15" t="s">
        <v>492</v>
      </c>
      <c r="E41" s="15" t="s">
        <v>493</v>
      </c>
      <c r="F41" s="15" t="s">
        <v>380</v>
      </c>
      <c r="G41" s="15" t="s">
        <v>31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7.5" customHeight="1">
      <c r="A42" s="16" t="s">
        <v>431</v>
      </c>
      <c r="B42" s="17" t="s">
        <v>309</v>
      </c>
      <c r="C42" s="17" t="s">
        <v>494</v>
      </c>
      <c r="D42" s="17" t="s">
        <v>495</v>
      </c>
      <c r="E42" s="17" t="s">
        <v>496</v>
      </c>
      <c r="F42" s="17" t="s">
        <v>366</v>
      </c>
      <c r="G42" s="17" t="s">
        <v>31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7.5" customHeight="1">
      <c r="A43" s="14" t="s">
        <v>436</v>
      </c>
      <c r="B43" s="15" t="s">
        <v>421</v>
      </c>
      <c r="C43" s="15" t="s">
        <v>497</v>
      </c>
      <c r="D43" s="15" t="s">
        <v>498</v>
      </c>
      <c r="E43" s="15" t="s">
        <v>499</v>
      </c>
      <c r="F43" s="15" t="s">
        <v>435</v>
      </c>
      <c r="G43" s="15" t="s">
        <v>31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7.5" customHeight="1">
      <c r="A44" s="16" t="s">
        <v>440</v>
      </c>
      <c r="B44" s="17" t="s">
        <v>421</v>
      </c>
      <c r="C44" s="17" t="s">
        <v>500</v>
      </c>
      <c r="D44" s="17" t="s">
        <v>501</v>
      </c>
      <c r="E44" s="17" t="s">
        <v>502</v>
      </c>
      <c r="F44" s="17" t="s">
        <v>503</v>
      </c>
      <c r="G44" s="17" t="s">
        <v>31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7.5" customHeight="1">
      <c r="A45" s="14" t="s">
        <v>504</v>
      </c>
      <c r="B45" s="15" t="s">
        <v>421</v>
      </c>
      <c r="C45" s="15" t="s">
        <v>505</v>
      </c>
      <c r="D45" s="15" t="s">
        <v>506</v>
      </c>
      <c r="E45" s="15" t="s">
        <v>507</v>
      </c>
      <c r="F45" s="15" t="s">
        <v>508</v>
      </c>
      <c r="G45" s="15" t="s">
        <v>17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7.5" customHeight="1">
      <c r="A46" s="42"/>
      <c r="B46" s="42"/>
      <c r="C46" s="42"/>
      <c r="D46" s="42"/>
      <c r="E46" s="42"/>
      <c r="F46" s="42"/>
      <c r="G46" s="4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7.5" customHeight="1">
      <c r="A47" s="44" t="s">
        <v>111</v>
      </c>
      <c r="B47" s="42"/>
      <c r="C47" s="42"/>
      <c r="D47" s="42"/>
      <c r="E47" s="42"/>
      <c r="F47" s="42"/>
      <c r="G47" s="4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7.5" customHeight="1">
      <c r="A48" s="39" t="s">
        <v>358</v>
      </c>
      <c r="B48" s="20" t="s">
        <v>509</v>
      </c>
      <c r="C48" s="20" t="s">
        <v>510</v>
      </c>
      <c r="D48" s="20" t="s">
        <v>511</v>
      </c>
      <c r="E48" s="20" t="s">
        <v>512</v>
      </c>
      <c r="F48" s="20" t="s">
        <v>513</v>
      </c>
      <c r="G48" s="21" t="s">
        <v>31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7.5" customHeight="1">
      <c r="A49" s="40" t="s">
        <v>362</v>
      </c>
      <c r="B49" s="23" t="s">
        <v>120</v>
      </c>
      <c r="C49" s="23" t="s">
        <v>514</v>
      </c>
      <c r="D49" s="23" t="s">
        <v>515</v>
      </c>
      <c r="E49" s="23" t="s">
        <v>516</v>
      </c>
      <c r="F49" s="23" t="s">
        <v>517</v>
      </c>
      <c r="G49" s="24" t="s">
        <v>31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7.5" customHeight="1">
      <c r="A50" s="39" t="s">
        <v>367</v>
      </c>
      <c r="B50" s="20" t="s">
        <v>518</v>
      </c>
      <c r="C50" s="20" t="s">
        <v>519</v>
      </c>
      <c r="D50" s="20" t="s">
        <v>520</v>
      </c>
      <c r="E50" s="20" t="s">
        <v>521</v>
      </c>
      <c r="F50" s="20" t="s">
        <v>522</v>
      </c>
      <c r="G50" s="21" t="s">
        <v>17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7.5" customHeight="1">
      <c r="A51" s="40" t="s">
        <v>372</v>
      </c>
      <c r="B51" s="23" t="s">
        <v>262</v>
      </c>
      <c r="C51" s="23" t="s">
        <v>523</v>
      </c>
      <c r="D51" s="23" t="s">
        <v>524</v>
      </c>
      <c r="E51" s="23" t="s">
        <v>525</v>
      </c>
      <c r="F51" s="23" t="s">
        <v>526</v>
      </c>
      <c r="G51" s="24" t="s">
        <v>17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7.5" customHeight="1">
      <c r="A52" s="39" t="s">
        <v>376</v>
      </c>
      <c r="B52" s="20" t="s">
        <v>527</v>
      </c>
      <c r="C52" s="20" t="s">
        <v>528</v>
      </c>
      <c r="D52" s="20" t="s">
        <v>529</v>
      </c>
      <c r="E52" s="20" t="s">
        <v>530</v>
      </c>
      <c r="F52" s="20" t="s">
        <v>531</v>
      </c>
      <c r="G52" s="21" t="s">
        <v>31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7.5" customHeight="1">
      <c r="A53" s="40" t="s">
        <v>381</v>
      </c>
      <c r="B53" s="23" t="s">
        <v>518</v>
      </c>
      <c r="C53" s="23" t="s">
        <v>532</v>
      </c>
      <c r="D53" s="23" t="s">
        <v>533</v>
      </c>
      <c r="E53" s="23" t="s">
        <v>534</v>
      </c>
      <c r="F53" s="23" t="s">
        <v>535</v>
      </c>
      <c r="G53" s="24" t="s">
        <v>35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7.5" customHeight="1">
      <c r="A54" s="39" t="s">
        <v>386</v>
      </c>
      <c r="B54" s="20" t="s">
        <v>536</v>
      </c>
      <c r="C54" s="20" t="s">
        <v>537</v>
      </c>
      <c r="D54" s="20" t="s">
        <v>538</v>
      </c>
      <c r="E54" s="20" t="s">
        <v>539</v>
      </c>
      <c r="F54" s="20" t="s">
        <v>540</v>
      </c>
      <c r="G54" s="21" t="s">
        <v>35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7.5" customHeight="1">
      <c r="A55" s="40" t="s">
        <v>391</v>
      </c>
      <c r="B55" s="23" t="s">
        <v>518</v>
      </c>
      <c r="C55" s="23" t="s">
        <v>541</v>
      </c>
      <c r="D55" s="23" t="s">
        <v>542</v>
      </c>
      <c r="E55" s="23" t="s">
        <v>543</v>
      </c>
      <c r="F55" s="23" t="s">
        <v>544</v>
      </c>
      <c r="G55" s="24" t="s">
        <v>17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7.5" customHeight="1">
      <c r="A56" s="40" t="s">
        <v>396</v>
      </c>
      <c r="B56" s="23" t="s">
        <v>527</v>
      </c>
      <c r="C56" s="23" t="s">
        <v>545</v>
      </c>
      <c r="D56" s="23" t="s">
        <v>546</v>
      </c>
      <c r="E56" s="23" t="s">
        <v>547</v>
      </c>
      <c r="F56" s="23" t="s">
        <v>548</v>
      </c>
      <c r="G56" s="24" t="s">
        <v>31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7.5" customHeight="1">
      <c r="A57" s="39" t="s">
        <v>401</v>
      </c>
      <c r="B57" s="20" t="s">
        <v>262</v>
      </c>
      <c r="C57" s="20" t="s">
        <v>549</v>
      </c>
      <c r="D57" s="20" t="s">
        <v>550</v>
      </c>
      <c r="E57" s="20" t="s">
        <v>551</v>
      </c>
      <c r="F57" s="20" t="s">
        <v>552</v>
      </c>
      <c r="G57" s="21" t="s">
        <v>17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7.5" customHeight="1">
      <c r="A58" s="40" t="s">
        <v>406</v>
      </c>
      <c r="B58" s="23" t="s">
        <v>536</v>
      </c>
      <c r="C58" s="23" t="s">
        <v>553</v>
      </c>
      <c r="D58" s="23" t="s">
        <v>554</v>
      </c>
      <c r="E58" s="23" t="s">
        <v>555</v>
      </c>
      <c r="F58" s="23" t="s">
        <v>556</v>
      </c>
      <c r="G58" s="24" t="s">
        <v>35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7.5" customHeight="1">
      <c r="A59" s="39" t="s">
        <v>412</v>
      </c>
      <c r="B59" s="20" t="s">
        <v>557</v>
      </c>
      <c r="C59" s="20" t="s">
        <v>558</v>
      </c>
      <c r="D59" s="20" t="s">
        <v>559</v>
      </c>
      <c r="E59" s="20" t="s">
        <v>560</v>
      </c>
      <c r="F59" s="20" t="s">
        <v>561</v>
      </c>
      <c r="G59" s="21" t="s">
        <v>35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7.5" customHeight="1">
      <c r="A60" s="40" t="s">
        <v>416</v>
      </c>
      <c r="B60" s="23" t="s">
        <v>562</v>
      </c>
      <c r="C60" s="23" t="s">
        <v>563</v>
      </c>
      <c r="D60" s="23" t="s">
        <v>564</v>
      </c>
      <c r="E60" s="23" t="s">
        <v>565</v>
      </c>
      <c r="F60" s="23" t="s">
        <v>566</v>
      </c>
      <c r="G60" s="24" t="s">
        <v>17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7.5" customHeight="1">
      <c r="A61" s="39" t="s">
        <v>420</v>
      </c>
      <c r="B61" s="20" t="s">
        <v>567</v>
      </c>
      <c r="C61" s="20" t="s">
        <v>568</v>
      </c>
      <c r="D61" s="20" t="s">
        <v>569</v>
      </c>
      <c r="E61" s="20" t="s">
        <v>570</v>
      </c>
      <c r="F61" s="20" t="s">
        <v>571</v>
      </c>
      <c r="G61" s="21" t="s">
        <v>35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7.5" customHeight="1">
      <c r="A62" s="42"/>
      <c r="B62" s="42"/>
      <c r="C62" s="42"/>
      <c r="D62" s="42"/>
      <c r="E62" s="42"/>
      <c r="F62" s="42"/>
      <c r="G62" s="4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7.5" customHeight="1">
      <c r="A63" s="42"/>
      <c r="B63" s="42"/>
      <c r="C63" s="42"/>
      <c r="D63" s="42"/>
      <c r="E63" s="42"/>
      <c r="F63" s="42"/>
      <c r="G63" s="4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7.5" customHeight="1">
      <c r="A64" s="42"/>
      <c r="B64" s="42"/>
      <c r="C64" s="42"/>
      <c r="D64" s="42"/>
      <c r="E64" s="42"/>
      <c r="F64" s="42"/>
      <c r="G64" s="4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</sheetData>
  <mergeCells count="3">
    <mergeCell ref="A1:G1"/>
    <mergeCell ref="B2:G2"/>
    <mergeCell ref="A4:G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12.0"/>
    <col customWidth="1" min="3" max="3" width="16.0"/>
    <col customWidth="1" min="4" max="5" width="28.0"/>
    <col customWidth="1" min="6" max="6" width="24.0"/>
    <col customWidth="1" min="7" max="7" width="35.0"/>
    <col customWidth="1" min="8" max="8" width="24.0"/>
    <col customWidth="1" min="9" max="9" width="32.0"/>
    <col customWidth="1" min="10" max="10" width="12.0"/>
    <col customWidth="1" min="11" max="11" width="20.0"/>
    <col customWidth="1" min="12" max="12" width="10.0"/>
    <col customWidth="1" min="13" max="13" width="12.0"/>
    <col customWidth="1" min="14" max="26" width="8.71"/>
  </cols>
  <sheetData>
    <row r="1" ht="24.0" customHeight="1">
      <c r="A1" s="1" t="s">
        <v>572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573</v>
      </c>
      <c r="B2" s="6" t="s">
        <v>574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3.5" customHeight="1">
      <c r="A4" s="10" t="s">
        <v>575</v>
      </c>
      <c r="B4" s="10" t="s">
        <v>576</v>
      </c>
      <c r="C4" s="10" t="s">
        <v>7</v>
      </c>
      <c r="D4" s="10" t="s">
        <v>577</v>
      </c>
      <c r="E4" s="10" t="s">
        <v>272</v>
      </c>
      <c r="F4" s="10" t="s">
        <v>578</v>
      </c>
      <c r="G4" s="10" t="s">
        <v>579</v>
      </c>
      <c r="H4" s="10" t="s">
        <v>580</v>
      </c>
      <c r="I4" s="10" t="s">
        <v>581</v>
      </c>
      <c r="J4" s="10" t="s">
        <v>582</v>
      </c>
      <c r="K4" s="10" t="s">
        <v>284</v>
      </c>
      <c r="L4" s="10" t="s">
        <v>11</v>
      </c>
      <c r="M4" s="10" t="s">
        <v>583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3.5" customHeight="1">
      <c r="A5" s="11" t="s">
        <v>584</v>
      </c>
      <c r="B5" s="11" t="s">
        <v>8</v>
      </c>
      <c r="C5" s="11" t="s">
        <v>71</v>
      </c>
      <c r="D5" s="11" t="s">
        <v>585</v>
      </c>
      <c r="E5" s="11" t="s">
        <v>586</v>
      </c>
      <c r="F5" s="11" t="s">
        <v>587</v>
      </c>
      <c r="G5" s="11" t="s">
        <v>588</v>
      </c>
      <c r="H5" s="11" t="s">
        <v>589</v>
      </c>
      <c r="I5" s="11" t="s">
        <v>590</v>
      </c>
      <c r="J5" s="11" t="s">
        <v>591</v>
      </c>
      <c r="K5" s="11" t="s">
        <v>592</v>
      </c>
      <c r="L5" s="11" t="s">
        <v>17</v>
      </c>
      <c r="M5" s="45" t="s">
        <v>593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3.5" customHeight="1">
      <c r="A6" s="12" t="s">
        <v>594</v>
      </c>
      <c r="B6" s="12" t="s">
        <v>8</v>
      </c>
      <c r="C6" s="12" t="s">
        <v>71</v>
      </c>
      <c r="D6" s="12" t="s">
        <v>595</v>
      </c>
      <c r="E6" s="12" t="s">
        <v>596</v>
      </c>
      <c r="F6" s="12" t="s">
        <v>597</v>
      </c>
      <c r="G6" s="12" t="s">
        <v>598</v>
      </c>
      <c r="H6" s="12" t="s">
        <v>599</v>
      </c>
      <c r="I6" s="12" t="s">
        <v>600</v>
      </c>
      <c r="J6" s="12" t="s">
        <v>591</v>
      </c>
      <c r="K6" s="12" t="s">
        <v>592</v>
      </c>
      <c r="L6" s="12" t="s">
        <v>17</v>
      </c>
      <c r="M6" s="45" t="s">
        <v>593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3.5" customHeight="1">
      <c r="A7" s="11" t="s">
        <v>601</v>
      </c>
      <c r="B7" s="11" t="s">
        <v>309</v>
      </c>
      <c r="C7" s="11" t="s">
        <v>71</v>
      </c>
      <c r="D7" s="11" t="s">
        <v>602</v>
      </c>
      <c r="E7" s="11" t="s">
        <v>603</v>
      </c>
      <c r="F7" s="11" t="s">
        <v>604</v>
      </c>
      <c r="G7" s="11" t="s">
        <v>605</v>
      </c>
      <c r="H7" s="11" t="s">
        <v>606</v>
      </c>
      <c r="I7" s="11" t="s">
        <v>607</v>
      </c>
      <c r="J7" s="11" t="s">
        <v>608</v>
      </c>
      <c r="K7" s="11" t="s">
        <v>609</v>
      </c>
      <c r="L7" s="11" t="s">
        <v>31</v>
      </c>
      <c r="M7" s="45" t="s">
        <v>593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3.5" customHeight="1">
      <c r="A8" s="12" t="s">
        <v>610</v>
      </c>
      <c r="B8" s="12" t="s">
        <v>8</v>
      </c>
      <c r="C8" s="12" t="s">
        <v>71</v>
      </c>
      <c r="D8" s="12" t="s">
        <v>611</v>
      </c>
      <c r="E8" s="12" t="s">
        <v>612</v>
      </c>
      <c r="F8" s="12" t="s">
        <v>613</v>
      </c>
      <c r="G8" s="12" t="s">
        <v>614</v>
      </c>
      <c r="H8" s="12" t="s">
        <v>615</v>
      </c>
      <c r="I8" s="12" t="s">
        <v>616</v>
      </c>
      <c r="J8" s="12" t="s">
        <v>591</v>
      </c>
      <c r="K8" s="12" t="s">
        <v>617</v>
      </c>
      <c r="L8" s="12" t="s">
        <v>17</v>
      </c>
      <c r="M8" s="45" t="s">
        <v>593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3.5" customHeight="1">
      <c r="A9" s="11" t="s">
        <v>618</v>
      </c>
      <c r="B9" s="11" t="s">
        <v>8</v>
      </c>
      <c r="C9" s="11" t="s">
        <v>159</v>
      </c>
      <c r="D9" s="11" t="s">
        <v>619</v>
      </c>
      <c r="E9" s="11" t="s">
        <v>620</v>
      </c>
      <c r="F9" s="11" t="s">
        <v>621</v>
      </c>
      <c r="G9" s="11" t="s">
        <v>622</v>
      </c>
      <c r="H9" s="11" t="s">
        <v>623</v>
      </c>
      <c r="I9" s="11" t="s">
        <v>624</v>
      </c>
      <c r="J9" s="11" t="s">
        <v>591</v>
      </c>
      <c r="K9" s="11" t="s">
        <v>625</v>
      </c>
      <c r="L9" s="11" t="s">
        <v>17</v>
      </c>
      <c r="M9" s="45" t="s">
        <v>593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3.5" customHeight="1">
      <c r="A10" s="12" t="s">
        <v>626</v>
      </c>
      <c r="B10" s="12" t="s">
        <v>8</v>
      </c>
      <c r="C10" s="12" t="s">
        <v>627</v>
      </c>
      <c r="D10" s="12" t="s">
        <v>628</v>
      </c>
      <c r="E10" s="12" t="s">
        <v>629</v>
      </c>
      <c r="F10" s="12" t="s">
        <v>630</v>
      </c>
      <c r="G10" s="12" t="s">
        <v>631</v>
      </c>
      <c r="H10" s="12" t="s">
        <v>623</v>
      </c>
      <c r="I10" s="12" t="s">
        <v>632</v>
      </c>
      <c r="J10" s="12" t="s">
        <v>591</v>
      </c>
      <c r="K10" s="12" t="s">
        <v>625</v>
      </c>
      <c r="L10" s="12" t="s">
        <v>17</v>
      </c>
      <c r="M10" s="45" t="s">
        <v>593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3.5" customHeight="1">
      <c r="A11" s="11" t="s">
        <v>633</v>
      </c>
      <c r="B11" s="11" t="s">
        <v>8</v>
      </c>
      <c r="C11" s="11" t="s">
        <v>627</v>
      </c>
      <c r="D11" s="11" t="s">
        <v>634</v>
      </c>
      <c r="E11" s="11" t="s">
        <v>635</v>
      </c>
      <c r="F11" s="11" t="s">
        <v>636</v>
      </c>
      <c r="G11" s="11" t="s">
        <v>637</v>
      </c>
      <c r="H11" s="11" t="s">
        <v>638</v>
      </c>
      <c r="I11" s="11" t="s">
        <v>639</v>
      </c>
      <c r="J11" s="11" t="s">
        <v>591</v>
      </c>
      <c r="K11" s="11" t="s">
        <v>625</v>
      </c>
      <c r="L11" s="11" t="s">
        <v>17</v>
      </c>
      <c r="M11" s="45" t="s">
        <v>593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3.5" customHeight="1">
      <c r="A12" s="12" t="s">
        <v>640</v>
      </c>
      <c r="B12" s="12" t="s">
        <v>8</v>
      </c>
      <c r="C12" s="12" t="s">
        <v>627</v>
      </c>
      <c r="D12" s="12" t="s">
        <v>641</v>
      </c>
      <c r="E12" s="12" t="s">
        <v>642</v>
      </c>
      <c r="F12" s="12" t="s">
        <v>643</v>
      </c>
      <c r="G12" s="12" t="s">
        <v>644</v>
      </c>
      <c r="H12" s="12" t="s">
        <v>645</v>
      </c>
      <c r="I12" s="12" t="s">
        <v>646</v>
      </c>
      <c r="J12" s="12" t="s">
        <v>591</v>
      </c>
      <c r="K12" s="12" t="s">
        <v>625</v>
      </c>
      <c r="L12" s="12" t="s">
        <v>35</v>
      </c>
      <c r="M12" s="45" t="s">
        <v>593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3.5" customHeight="1">
      <c r="A13" s="11" t="s">
        <v>647</v>
      </c>
      <c r="B13" s="11" t="s">
        <v>309</v>
      </c>
      <c r="C13" s="11" t="s">
        <v>648</v>
      </c>
      <c r="D13" s="11" t="s">
        <v>649</v>
      </c>
      <c r="E13" s="11" t="s">
        <v>650</v>
      </c>
      <c r="F13" s="11" t="s">
        <v>651</v>
      </c>
      <c r="G13" s="11" t="s">
        <v>652</v>
      </c>
      <c r="H13" s="11" t="s">
        <v>653</v>
      </c>
      <c r="I13" s="11" t="s">
        <v>654</v>
      </c>
      <c r="J13" s="11" t="s">
        <v>608</v>
      </c>
      <c r="K13" s="11" t="s">
        <v>609</v>
      </c>
      <c r="L13" s="11" t="s">
        <v>31</v>
      </c>
      <c r="M13" s="45" t="s">
        <v>593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3.5" customHeight="1">
      <c r="A14" s="12" t="s">
        <v>655</v>
      </c>
      <c r="B14" s="12" t="s">
        <v>309</v>
      </c>
      <c r="C14" s="12" t="s">
        <v>648</v>
      </c>
      <c r="D14" s="12" t="s">
        <v>656</v>
      </c>
      <c r="E14" s="12" t="s">
        <v>657</v>
      </c>
      <c r="F14" s="12" t="s">
        <v>658</v>
      </c>
      <c r="G14" s="12" t="s">
        <v>659</v>
      </c>
      <c r="H14" s="12" t="s">
        <v>660</v>
      </c>
      <c r="I14" s="12" t="s">
        <v>661</v>
      </c>
      <c r="J14" s="12" t="s">
        <v>608</v>
      </c>
      <c r="K14" s="12" t="s">
        <v>609</v>
      </c>
      <c r="L14" s="12" t="s">
        <v>17</v>
      </c>
      <c r="M14" s="45" t="s">
        <v>593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3.5" customHeight="1">
      <c r="A15" s="11" t="s">
        <v>662</v>
      </c>
      <c r="B15" s="11" t="s">
        <v>8</v>
      </c>
      <c r="C15" s="11" t="s">
        <v>648</v>
      </c>
      <c r="D15" s="11" t="s">
        <v>663</v>
      </c>
      <c r="E15" s="11" t="s">
        <v>664</v>
      </c>
      <c r="F15" s="11" t="s">
        <v>658</v>
      </c>
      <c r="G15" s="11" t="s">
        <v>665</v>
      </c>
      <c r="H15" s="11" t="s">
        <v>623</v>
      </c>
      <c r="I15" s="11" t="s">
        <v>666</v>
      </c>
      <c r="J15" s="11" t="s">
        <v>591</v>
      </c>
      <c r="K15" s="11" t="s">
        <v>625</v>
      </c>
      <c r="L15" s="11" t="s">
        <v>17</v>
      </c>
      <c r="M15" s="46" t="s">
        <v>667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3.5" customHeight="1">
      <c r="A16" s="12" t="s">
        <v>668</v>
      </c>
      <c r="B16" s="12" t="s">
        <v>8</v>
      </c>
      <c r="C16" s="12" t="s">
        <v>42</v>
      </c>
      <c r="D16" s="12" t="s">
        <v>669</v>
      </c>
      <c r="E16" s="12" t="s">
        <v>670</v>
      </c>
      <c r="F16" s="12" t="s">
        <v>671</v>
      </c>
      <c r="G16" s="12" t="s">
        <v>672</v>
      </c>
      <c r="H16" s="12" t="s">
        <v>623</v>
      </c>
      <c r="I16" s="12" t="s">
        <v>673</v>
      </c>
      <c r="J16" s="12" t="s">
        <v>591</v>
      </c>
      <c r="K16" s="12" t="s">
        <v>625</v>
      </c>
      <c r="L16" s="12" t="s">
        <v>31</v>
      </c>
      <c r="M16" s="45" t="s">
        <v>593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3.5" customHeight="1">
      <c r="A17" s="11" t="s">
        <v>674</v>
      </c>
      <c r="B17" s="11" t="s">
        <v>309</v>
      </c>
      <c r="C17" s="11" t="s">
        <v>86</v>
      </c>
      <c r="D17" s="11" t="s">
        <v>377</v>
      </c>
      <c r="E17" s="11" t="s">
        <v>675</v>
      </c>
      <c r="F17" s="11" t="s">
        <v>676</v>
      </c>
      <c r="G17" s="11" t="s">
        <v>677</v>
      </c>
      <c r="H17" s="11" t="s">
        <v>678</v>
      </c>
      <c r="I17" s="11" t="s">
        <v>679</v>
      </c>
      <c r="J17" s="11" t="s">
        <v>608</v>
      </c>
      <c r="K17" s="11" t="s">
        <v>609</v>
      </c>
      <c r="L17" s="11" t="s">
        <v>31</v>
      </c>
      <c r="M17" s="45" t="s">
        <v>593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3.5" customHeight="1">
      <c r="A18" s="12" t="s">
        <v>680</v>
      </c>
      <c r="B18" s="12" t="s">
        <v>8</v>
      </c>
      <c r="C18" s="12" t="s">
        <v>86</v>
      </c>
      <c r="D18" s="12" t="s">
        <v>681</v>
      </c>
      <c r="E18" s="12" t="s">
        <v>682</v>
      </c>
      <c r="F18" s="12" t="s">
        <v>683</v>
      </c>
      <c r="G18" s="12" t="s">
        <v>684</v>
      </c>
      <c r="H18" s="12" t="s">
        <v>685</v>
      </c>
      <c r="I18" s="12" t="s">
        <v>686</v>
      </c>
      <c r="J18" s="12" t="s">
        <v>591</v>
      </c>
      <c r="K18" s="12" t="s">
        <v>617</v>
      </c>
      <c r="L18" s="12" t="s">
        <v>17</v>
      </c>
      <c r="M18" s="45" t="s">
        <v>593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3.5" customHeight="1">
      <c r="A19" s="11" t="s">
        <v>687</v>
      </c>
      <c r="B19" s="11" t="s">
        <v>8</v>
      </c>
      <c r="C19" s="11" t="s">
        <v>86</v>
      </c>
      <c r="D19" s="11" t="s">
        <v>688</v>
      </c>
      <c r="E19" s="11" t="s">
        <v>689</v>
      </c>
      <c r="F19" s="11" t="s">
        <v>690</v>
      </c>
      <c r="G19" s="11" t="s">
        <v>691</v>
      </c>
      <c r="H19" s="11" t="s">
        <v>692</v>
      </c>
      <c r="I19" s="11" t="s">
        <v>693</v>
      </c>
      <c r="J19" s="11" t="s">
        <v>591</v>
      </c>
      <c r="K19" s="11" t="s">
        <v>625</v>
      </c>
      <c r="L19" s="11" t="s">
        <v>17</v>
      </c>
      <c r="M19" s="45" t="s">
        <v>593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3.5" customHeight="1">
      <c r="A20" s="12" t="s">
        <v>694</v>
      </c>
      <c r="B20" s="12" t="s">
        <v>309</v>
      </c>
      <c r="C20" s="12" t="s">
        <v>86</v>
      </c>
      <c r="D20" s="12" t="s">
        <v>695</v>
      </c>
      <c r="E20" s="12" t="s">
        <v>696</v>
      </c>
      <c r="F20" s="12" t="s">
        <v>676</v>
      </c>
      <c r="G20" s="12" t="s">
        <v>697</v>
      </c>
      <c r="H20" s="12" t="s">
        <v>698</v>
      </c>
      <c r="I20" s="12" t="s">
        <v>699</v>
      </c>
      <c r="J20" s="12" t="s">
        <v>608</v>
      </c>
      <c r="K20" s="12" t="s">
        <v>700</v>
      </c>
      <c r="L20" s="12" t="s">
        <v>31</v>
      </c>
      <c r="M20" s="46" t="s">
        <v>667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3.5" customHeight="1">
      <c r="A21" s="11" t="s">
        <v>701</v>
      </c>
      <c r="B21" s="11" t="s">
        <v>8</v>
      </c>
      <c r="C21" s="11" t="s">
        <v>387</v>
      </c>
      <c r="D21" s="11" t="s">
        <v>702</v>
      </c>
      <c r="E21" s="11" t="s">
        <v>703</v>
      </c>
      <c r="F21" s="11" t="s">
        <v>704</v>
      </c>
      <c r="G21" s="11" t="s">
        <v>705</v>
      </c>
      <c r="H21" s="11" t="s">
        <v>623</v>
      </c>
      <c r="I21" s="11" t="s">
        <v>706</v>
      </c>
      <c r="J21" s="11" t="s">
        <v>591</v>
      </c>
      <c r="K21" s="11" t="s">
        <v>625</v>
      </c>
      <c r="L21" s="11" t="s">
        <v>35</v>
      </c>
      <c r="M21" s="45" t="s">
        <v>593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3.5" customHeight="1">
      <c r="A22" s="12" t="s">
        <v>707</v>
      </c>
      <c r="B22" s="12" t="s">
        <v>309</v>
      </c>
      <c r="C22" s="12" t="s">
        <v>708</v>
      </c>
      <c r="D22" s="12" t="s">
        <v>709</v>
      </c>
      <c r="E22" s="12" t="s">
        <v>710</v>
      </c>
      <c r="F22" s="12" t="s">
        <v>711</v>
      </c>
      <c r="G22" s="12" t="s">
        <v>712</v>
      </c>
      <c r="H22" s="12" t="s">
        <v>623</v>
      </c>
      <c r="I22" s="12" t="s">
        <v>713</v>
      </c>
      <c r="J22" s="12" t="s">
        <v>608</v>
      </c>
      <c r="K22" s="12" t="s">
        <v>714</v>
      </c>
      <c r="L22" s="12" t="s">
        <v>17</v>
      </c>
      <c r="M22" s="45" t="s">
        <v>593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3.5" customHeight="1">
      <c r="A23" s="11" t="s">
        <v>715</v>
      </c>
      <c r="B23" s="11" t="s">
        <v>8</v>
      </c>
      <c r="C23" s="11" t="s">
        <v>716</v>
      </c>
      <c r="D23" s="11" t="s">
        <v>717</v>
      </c>
      <c r="E23" s="11" t="s">
        <v>718</v>
      </c>
      <c r="F23" s="11" t="s">
        <v>719</v>
      </c>
      <c r="G23" s="11" t="s">
        <v>720</v>
      </c>
      <c r="H23" s="11" t="s">
        <v>623</v>
      </c>
      <c r="I23" s="11" t="s">
        <v>721</v>
      </c>
      <c r="J23" s="11" t="s">
        <v>591</v>
      </c>
      <c r="K23" s="11" t="s">
        <v>625</v>
      </c>
      <c r="L23" s="11" t="s">
        <v>35</v>
      </c>
      <c r="M23" s="45" t="s">
        <v>593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3.5" customHeight="1">
      <c r="A24" s="12" t="s">
        <v>722</v>
      </c>
      <c r="B24" s="12" t="s">
        <v>48</v>
      </c>
      <c r="C24" s="12" t="s">
        <v>723</v>
      </c>
      <c r="D24" s="12" t="s">
        <v>724</v>
      </c>
      <c r="E24" s="12" t="s">
        <v>725</v>
      </c>
      <c r="F24" s="12" t="s">
        <v>726</v>
      </c>
      <c r="G24" s="12" t="s">
        <v>727</v>
      </c>
      <c r="H24" s="12" t="s">
        <v>623</v>
      </c>
      <c r="I24" s="12" t="s">
        <v>728</v>
      </c>
      <c r="J24" s="12" t="s">
        <v>729</v>
      </c>
      <c r="K24" s="12" t="s">
        <v>730</v>
      </c>
      <c r="L24" s="12" t="s">
        <v>17</v>
      </c>
      <c r="M24" s="45" t="s">
        <v>593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3.5" customHeight="1">
      <c r="A25" s="11" t="s">
        <v>731</v>
      </c>
      <c r="B25" s="11" t="s">
        <v>48</v>
      </c>
      <c r="C25" s="11" t="s">
        <v>723</v>
      </c>
      <c r="D25" s="11" t="s">
        <v>732</v>
      </c>
      <c r="E25" s="11" t="s">
        <v>733</v>
      </c>
      <c r="F25" s="11" t="s">
        <v>734</v>
      </c>
      <c r="G25" s="11" t="s">
        <v>735</v>
      </c>
      <c r="H25" s="11" t="s">
        <v>623</v>
      </c>
      <c r="I25" s="11" t="s">
        <v>736</v>
      </c>
      <c r="J25" s="11" t="s">
        <v>591</v>
      </c>
      <c r="K25" s="11" t="s">
        <v>625</v>
      </c>
      <c r="L25" s="11" t="s">
        <v>35</v>
      </c>
      <c r="M25" s="45" t="s">
        <v>593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3.5" customHeight="1">
      <c r="A26" s="12" t="s">
        <v>737</v>
      </c>
      <c r="B26" s="12" t="s">
        <v>48</v>
      </c>
      <c r="C26" s="12" t="s">
        <v>723</v>
      </c>
      <c r="D26" s="12" t="s">
        <v>738</v>
      </c>
      <c r="E26" s="12" t="s">
        <v>739</v>
      </c>
      <c r="F26" s="12" t="s">
        <v>740</v>
      </c>
      <c r="G26" s="12" t="s">
        <v>741</v>
      </c>
      <c r="H26" s="12" t="s">
        <v>623</v>
      </c>
      <c r="I26" s="12" t="s">
        <v>742</v>
      </c>
      <c r="J26" s="12" t="s">
        <v>591</v>
      </c>
      <c r="K26" s="12" t="s">
        <v>625</v>
      </c>
      <c r="L26" s="12" t="s">
        <v>35</v>
      </c>
      <c r="M26" s="46" t="s">
        <v>667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3.5" customHeight="1">
      <c r="A27" s="11" t="s">
        <v>743</v>
      </c>
      <c r="B27" s="11" t="s">
        <v>48</v>
      </c>
      <c r="C27" s="11" t="s">
        <v>744</v>
      </c>
      <c r="D27" s="11" t="s">
        <v>745</v>
      </c>
      <c r="E27" s="11" t="s">
        <v>746</v>
      </c>
      <c r="F27" s="11" t="s">
        <v>424</v>
      </c>
      <c r="G27" s="11" t="s">
        <v>747</v>
      </c>
      <c r="H27" s="11" t="s">
        <v>748</v>
      </c>
      <c r="I27" s="11" t="s">
        <v>749</v>
      </c>
      <c r="J27" s="11" t="s">
        <v>729</v>
      </c>
      <c r="K27" s="11" t="s">
        <v>750</v>
      </c>
      <c r="L27" s="11" t="s">
        <v>35</v>
      </c>
      <c r="M27" s="45" t="s">
        <v>593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3.5" customHeight="1">
      <c r="A28" s="12" t="s">
        <v>751</v>
      </c>
      <c r="B28" s="12" t="s">
        <v>48</v>
      </c>
      <c r="C28" s="12" t="s">
        <v>752</v>
      </c>
      <c r="D28" s="12" t="s">
        <v>753</v>
      </c>
      <c r="E28" s="12" t="s">
        <v>754</v>
      </c>
      <c r="F28" s="12" t="s">
        <v>755</v>
      </c>
      <c r="G28" s="12" t="s">
        <v>756</v>
      </c>
      <c r="H28" s="12" t="s">
        <v>757</v>
      </c>
      <c r="I28" s="12" t="s">
        <v>758</v>
      </c>
      <c r="J28" s="12" t="s">
        <v>729</v>
      </c>
      <c r="K28" s="12" t="s">
        <v>750</v>
      </c>
      <c r="L28" s="12" t="s">
        <v>35</v>
      </c>
      <c r="M28" s="45" t="s">
        <v>593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3.5" customHeight="1">
      <c r="A29" s="11" t="s">
        <v>759</v>
      </c>
      <c r="B29" s="11" t="s">
        <v>48</v>
      </c>
      <c r="C29" s="11" t="s">
        <v>760</v>
      </c>
      <c r="D29" s="11" t="s">
        <v>761</v>
      </c>
      <c r="E29" s="11" t="s">
        <v>762</v>
      </c>
      <c r="F29" s="11" t="s">
        <v>429</v>
      </c>
      <c r="G29" s="11" t="s">
        <v>763</v>
      </c>
      <c r="H29" s="11" t="s">
        <v>764</v>
      </c>
      <c r="I29" s="11" t="s">
        <v>765</v>
      </c>
      <c r="J29" s="11" t="s">
        <v>729</v>
      </c>
      <c r="K29" s="11" t="s">
        <v>253</v>
      </c>
      <c r="L29" s="11" t="s">
        <v>17</v>
      </c>
      <c r="M29" s="46" t="s">
        <v>667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3.5" customHeight="1">
      <c r="A30" s="12" t="s">
        <v>766</v>
      </c>
      <c r="B30" s="12" t="s">
        <v>48</v>
      </c>
      <c r="C30" s="12" t="s">
        <v>767</v>
      </c>
      <c r="D30" s="12" t="s">
        <v>768</v>
      </c>
      <c r="E30" s="12" t="s">
        <v>769</v>
      </c>
      <c r="F30" s="12" t="s">
        <v>770</v>
      </c>
      <c r="G30" s="12" t="s">
        <v>771</v>
      </c>
      <c r="H30" s="12" t="s">
        <v>772</v>
      </c>
      <c r="I30" s="12" t="s">
        <v>773</v>
      </c>
      <c r="J30" s="12" t="s">
        <v>729</v>
      </c>
      <c r="K30" s="12" t="s">
        <v>774</v>
      </c>
      <c r="L30" s="12" t="s">
        <v>17</v>
      </c>
      <c r="M30" s="46" t="s">
        <v>667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3.5" customHeight="1">
      <c r="A31" s="11" t="s">
        <v>775</v>
      </c>
      <c r="B31" s="11" t="s">
        <v>48</v>
      </c>
      <c r="C31" s="11" t="s">
        <v>767</v>
      </c>
      <c r="D31" s="11" t="s">
        <v>776</v>
      </c>
      <c r="E31" s="11" t="s">
        <v>777</v>
      </c>
      <c r="F31" s="11" t="s">
        <v>778</v>
      </c>
      <c r="G31" s="11" t="s">
        <v>779</v>
      </c>
      <c r="H31" s="11" t="s">
        <v>780</v>
      </c>
      <c r="I31" s="11" t="s">
        <v>781</v>
      </c>
      <c r="J31" s="11" t="s">
        <v>729</v>
      </c>
      <c r="K31" s="11" t="s">
        <v>251</v>
      </c>
      <c r="L31" s="11" t="s">
        <v>31</v>
      </c>
      <c r="M31" s="45" t="s">
        <v>593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3.5" customHeight="1">
      <c r="A32" s="12" t="s">
        <v>782</v>
      </c>
      <c r="B32" s="12" t="s">
        <v>48</v>
      </c>
      <c r="C32" s="12" t="s">
        <v>783</v>
      </c>
      <c r="D32" s="12" t="s">
        <v>784</v>
      </c>
      <c r="E32" s="12" t="s">
        <v>785</v>
      </c>
      <c r="F32" s="12" t="s">
        <v>786</v>
      </c>
      <c r="G32" s="12" t="s">
        <v>787</v>
      </c>
      <c r="H32" s="12" t="s">
        <v>788</v>
      </c>
      <c r="I32" s="12" t="s">
        <v>789</v>
      </c>
      <c r="J32" s="12" t="s">
        <v>729</v>
      </c>
      <c r="K32" s="12" t="s">
        <v>251</v>
      </c>
      <c r="L32" s="12" t="s">
        <v>31</v>
      </c>
      <c r="M32" s="45" t="s">
        <v>593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3.5" customHeight="1">
      <c r="A33" s="11" t="s">
        <v>790</v>
      </c>
      <c r="B33" s="11" t="s">
        <v>48</v>
      </c>
      <c r="C33" s="11" t="s">
        <v>783</v>
      </c>
      <c r="D33" s="11" t="s">
        <v>791</v>
      </c>
      <c r="E33" s="11" t="s">
        <v>792</v>
      </c>
      <c r="F33" s="11" t="s">
        <v>793</v>
      </c>
      <c r="G33" s="11" t="s">
        <v>794</v>
      </c>
      <c r="H33" s="11" t="s">
        <v>795</v>
      </c>
      <c r="I33" s="11" t="s">
        <v>796</v>
      </c>
      <c r="J33" s="11" t="s">
        <v>591</v>
      </c>
      <c r="K33" s="11" t="s">
        <v>625</v>
      </c>
      <c r="L33" s="11" t="s">
        <v>17</v>
      </c>
      <c r="M33" s="47" t="s">
        <v>797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3.5" customHeight="1">
      <c r="A34" s="12" t="s">
        <v>798</v>
      </c>
      <c r="B34" s="12" t="s">
        <v>48</v>
      </c>
      <c r="C34" s="12" t="s">
        <v>799</v>
      </c>
      <c r="D34" s="12" t="s">
        <v>800</v>
      </c>
      <c r="E34" s="12" t="s">
        <v>801</v>
      </c>
      <c r="F34" s="12" t="s">
        <v>802</v>
      </c>
      <c r="G34" s="12" t="s">
        <v>803</v>
      </c>
      <c r="H34" s="12" t="s">
        <v>804</v>
      </c>
      <c r="I34" s="12" t="s">
        <v>805</v>
      </c>
      <c r="J34" s="12" t="s">
        <v>729</v>
      </c>
      <c r="K34" s="12" t="s">
        <v>730</v>
      </c>
      <c r="L34" s="12" t="s">
        <v>35</v>
      </c>
      <c r="M34" s="45" t="s">
        <v>593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3.5" customHeight="1">
      <c r="A35" s="11" t="s">
        <v>806</v>
      </c>
      <c r="B35" s="11" t="s">
        <v>48</v>
      </c>
      <c r="C35" s="11" t="s">
        <v>807</v>
      </c>
      <c r="D35" s="11" t="s">
        <v>808</v>
      </c>
      <c r="E35" s="11" t="s">
        <v>809</v>
      </c>
      <c r="F35" s="11" t="s">
        <v>810</v>
      </c>
      <c r="G35" s="11" t="s">
        <v>811</v>
      </c>
      <c r="H35" s="11" t="s">
        <v>812</v>
      </c>
      <c r="I35" s="11" t="s">
        <v>813</v>
      </c>
      <c r="J35" s="11" t="s">
        <v>729</v>
      </c>
      <c r="K35" s="11" t="s">
        <v>251</v>
      </c>
      <c r="L35" s="11" t="s">
        <v>17</v>
      </c>
      <c r="M35" s="45" t="s">
        <v>593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43.5" customHeight="1">
      <c r="A36" s="12" t="s">
        <v>814</v>
      </c>
      <c r="B36" s="12" t="s">
        <v>48</v>
      </c>
      <c r="C36" s="12" t="s">
        <v>815</v>
      </c>
      <c r="D36" s="12" t="s">
        <v>816</v>
      </c>
      <c r="E36" s="12" t="s">
        <v>817</v>
      </c>
      <c r="F36" s="12" t="s">
        <v>818</v>
      </c>
      <c r="G36" s="12" t="s">
        <v>819</v>
      </c>
      <c r="H36" s="12" t="s">
        <v>623</v>
      </c>
      <c r="I36" s="12" t="s">
        <v>820</v>
      </c>
      <c r="J36" s="12" t="s">
        <v>729</v>
      </c>
      <c r="K36" s="12" t="s">
        <v>730</v>
      </c>
      <c r="L36" s="12" t="s">
        <v>17</v>
      </c>
      <c r="M36" s="47" t="s">
        <v>797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3.5" customHeight="1">
      <c r="A37" s="11" t="s">
        <v>821</v>
      </c>
      <c r="B37" s="11" t="s">
        <v>309</v>
      </c>
      <c r="C37" s="11" t="s">
        <v>42</v>
      </c>
      <c r="D37" s="11" t="s">
        <v>822</v>
      </c>
      <c r="E37" s="11" t="s">
        <v>823</v>
      </c>
      <c r="F37" s="11" t="s">
        <v>824</v>
      </c>
      <c r="G37" s="11" t="s">
        <v>825</v>
      </c>
      <c r="H37" s="11" t="s">
        <v>623</v>
      </c>
      <c r="I37" s="11" t="s">
        <v>826</v>
      </c>
      <c r="J37" s="11" t="s">
        <v>608</v>
      </c>
      <c r="K37" s="11" t="s">
        <v>609</v>
      </c>
      <c r="L37" s="11" t="s">
        <v>35</v>
      </c>
      <c r="M37" s="45" t="s">
        <v>593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3.5" customHeight="1">
      <c r="A38" s="12" t="s">
        <v>827</v>
      </c>
      <c r="B38" s="12" t="s">
        <v>48</v>
      </c>
      <c r="C38" s="12" t="s">
        <v>828</v>
      </c>
      <c r="D38" s="12" t="s">
        <v>829</v>
      </c>
      <c r="E38" s="12" t="s">
        <v>830</v>
      </c>
      <c r="F38" s="12" t="s">
        <v>831</v>
      </c>
      <c r="G38" s="12" t="s">
        <v>832</v>
      </c>
      <c r="H38" s="12" t="s">
        <v>833</v>
      </c>
      <c r="I38" s="12" t="s">
        <v>834</v>
      </c>
      <c r="J38" s="12" t="s">
        <v>591</v>
      </c>
      <c r="K38" s="12" t="s">
        <v>835</v>
      </c>
      <c r="L38" s="12" t="s">
        <v>35</v>
      </c>
      <c r="M38" s="47" t="s">
        <v>797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3.5" customHeight="1">
      <c r="A39" s="11" t="s">
        <v>836</v>
      </c>
      <c r="B39" s="11" t="s">
        <v>8</v>
      </c>
      <c r="C39" s="11" t="s">
        <v>648</v>
      </c>
      <c r="D39" s="11" t="s">
        <v>837</v>
      </c>
      <c r="E39" s="11" t="s">
        <v>838</v>
      </c>
      <c r="F39" s="11" t="s">
        <v>651</v>
      </c>
      <c r="G39" s="11" t="s">
        <v>839</v>
      </c>
      <c r="H39" s="11" t="s">
        <v>840</v>
      </c>
      <c r="I39" s="11" t="s">
        <v>841</v>
      </c>
      <c r="J39" s="11" t="s">
        <v>591</v>
      </c>
      <c r="K39" s="11" t="s">
        <v>625</v>
      </c>
      <c r="L39" s="11" t="s">
        <v>17</v>
      </c>
      <c r="M39" s="45" t="s">
        <v>593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3.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8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3.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8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3.5" customHeight="1">
      <c r="A42" s="43" t="s">
        <v>52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8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43.5" customHeight="1">
      <c r="A43" s="14" t="s">
        <v>584</v>
      </c>
      <c r="B43" s="15" t="s">
        <v>444</v>
      </c>
      <c r="C43" s="15" t="s">
        <v>53</v>
      </c>
      <c r="D43" s="15" t="s">
        <v>842</v>
      </c>
      <c r="E43" s="15" t="s">
        <v>843</v>
      </c>
      <c r="F43" s="15" t="s">
        <v>844</v>
      </c>
      <c r="G43" s="15" t="s">
        <v>845</v>
      </c>
      <c r="H43" s="15" t="s">
        <v>846</v>
      </c>
      <c r="I43" s="15" t="s">
        <v>847</v>
      </c>
      <c r="J43" s="15" t="s">
        <v>729</v>
      </c>
      <c r="K43" s="15" t="s">
        <v>848</v>
      </c>
      <c r="L43" s="15" t="s">
        <v>31</v>
      </c>
      <c r="M43" s="45" t="s">
        <v>593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43.5" customHeight="1">
      <c r="A44" s="16" t="s">
        <v>594</v>
      </c>
      <c r="B44" s="17" t="s">
        <v>444</v>
      </c>
      <c r="C44" s="17" t="s">
        <v>53</v>
      </c>
      <c r="D44" s="17" t="s">
        <v>849</v>
      </c>
      <c r="E44" s="17" t="s">
        <v>850</v>
      </c>
      <c r="F44" s="17" t="s">
        <v>851</v>
      </c>
      <c r="G44" s="17" t="s">
        <v>852</v>
      </c>
      <c r="H44" s="17" t="s">
        <v>853</v>
      </c>
      <c r="I44" s="17" t="s">
        <v>854</v>
      </c>
      <c r="J44" s="17" t="s">
        <v>729</v>
      </c>
      <c r="K44" s="17" t="s">
        <v>848</v>
      </c>
      <c r="L44" s="17" t="s">
        <v>17</v>
      </c>
      <c r="M44" s="45" t="s">
        <v>593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43.5" customHeight="1">
      <c r="A45" s="14" t="s">
        <v>601</v>
      </c>
      <c r="B45" s="15" t="s">
        <v>444</v>
      </c>
      <c r="C45" s="15" t="s">
        <v>53</v>
      </c>
      <c r="D45" s="15" t="s">
        <v>855</v>
      </c>
      <c r="E45" s="15" t="s">
        <v>856</v>
      </c>
      <c r="F45" s="15" t="s">
        <v>857</v>
      </c>
      <c r="G45" s="15" t="s">
        <v>858</v>
      </c>
      <c r="H45" s="15" t="s">
        <v>859</v>
      </c>
      <c r="I45" s="15" t="s">
        <v>860</v>
      </c>
      <c r="J45" s="15" t="s">
        <v>729</v>
      </c>
      <c r="K45" s="15" t="s">
        <v>848</v>
      </c>
      <c r="L45" s="15" t="s">
        <v>31</v>
      </c>
      <c r="M45" s="45" t="s">
        <v>593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43.5" customHeight="1">
      <c r="A46" s="16" t="s">
        <v>610</v>
      </c>
      <c r="B46" s="17" t="s">
        <v>444</v>
      </c>
      <c r="C46" s="17" t="s">
        <v>53</v>
      </c>
      <c r="D46" s="17" t="s">
        <v>861</v>
      </c>
      <c r="E46" s="17" t="s">
        <v>862</v>
      </c>
      <c r="F46" s="17" t="s">
        <v>863</v>
      </c>
      <c r="G46" s="17" t="s">
        <v>864</v>
      </c>
      <c r="H46" s="17" t="s">
        <v>865</v>
      </c>
      <c r="I46" s="17" t="s">
        <v>866</v>
      </c>
      <c r="J46" s="17" t="s">
        <v>729</v>
      </c>
      <c r="K46" s="17" t="s">
        <v>848</v>
      </c>
      <c r="L46" s="17" t="s">
        <v>17</v>
      </c>
      <c r="M46" s="45" t="s">
        <v>593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43.5" customHeight="1">
      <c r="A47" s="14" t="s">
        <v>618</v>
      </c>
      <c r="B47" s="15" t="s">
        <v>444</v>
      </c>
      <c r="C47" s="15" t="s">
        <v>53</v>
      </c>
      <c r="D47" s="15" t="s">
        <v>57</v>
      </c>
      <c r="E47" s="15" t="s">
        <v>867</v>
      </c>
      <c r="F47" s="15" t="s">
        <v>868</v>
      </c>
      <c r="G47" s="15" t="s">
        <v>869</v>
      </c>
      <c r="H47" s="15" t="s">
        <v>870</v>
      </c>
      <c r="I47" s="15" t="s">
        <v>871</v>
      </c>
      <c r="J47" s="15" t="s">
        <v>729</v>
      </c>
      <c r="K47" s="15" t="s">
        <v>848</v>
      </c>
      <c r="L47" s="15" t="s">
        <v>17</v>
      </c>
      <c r="M47" s="45" t="s">
        <v>593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43.5" customHeight="1">
      <c r="A48" s="16" t="s">
        <v>626</v>
      </c>
      <c r="B48" s="17" t="s">
        <v>444</v>
      </c>
      <c r="C48" s="17" t="s">
        <v>53</v>
      </c>
      <c r="D48" s="17" t="s">
        <v>872</v>
      </c>
      <c r="E48" s="17" t="s">
        <v>873</v>
      </c>
      <c r="F48" s="17" t="s">
        <v>874</v>
      </c>
      <c r="G48" s="17" t="s">
        <v>875</v>
      </c>
      <c r="H48" s="17" t="s">
        <v>876</v>
      </c>
      <c r="I48" s="17" t="s">
        <v>877</v>
      </c>
      <c r="J48" s="17" t="s">
        <v>729</v>
      </c>
      <c r="K48" s="17" t="s">
        <v>848</v>
      </c>
      <c r="L48" s="17" t="s">
        <v>31</v>
      </c>
      <c r="M48" s="45" t="s">
        <v>593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43.5" customHeight="1">
      <c r="A49" s="14" t="s">
        <v>633</v>
      </c>
      <c r="B49" s="15" t="s">
        <v>444</v>
      </c>
      <c r="C49" s="15" t="s">
        <v>53</v>
      </c>
      <c r="D49" s="15" t="s">
        <v>878</v>
      </c>
      <c r="E49" s="15" t="s">
        <v>879</v>
      </c>
      <c r="F49" s="15" t="s">
        <v>880</v>
      </c>
      <c r="G49" s="15" t="s">
        <v>881</v>
      </c>
      <c r="H49" s="15" t="s">
        <v>882</v>
      </c>
      <c r="I49" s="15" t="s">
        <v>883</v>
      </c>
      <c r="J49" s="15" t="s">
        <v>729</v>
      </c>
      <c r="K49" s="15" t="s">
        <v>848</v>
      </c>
      <c r="L49" s="15" t="s">
        <v>17</v>
      </c>
      <c r="M49" s="45" t="s">
        <v>593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43.5" customHeight="1">
      <c r="A50" s="16" t="s">
        <v>640</v>
      </c>
      <c r="B50" s="17" t="s">
        <v>444</v>
      </c>
      <c r="C50" s="17" t="s">
        <v>53</v>
      </c>
      <c r="D50" s="17" t="s">
        <v>884</v>
      </c>
      <c r="E50" s="17" t="s">
        <v>885</v>
      </c>
      <c r="F50" s="17" t="s">
        <v>886</v>
      </c>
      <c r="G50" s="17" t="s">
        <v>887</v>
      </c>
      <c r="H50" s="17" t="s">
        <v>888</v>
      </c>
      <c r="I50" s="17" t="s">
        <v>889</v>
      </c>
      <c r="J50" s="17" t="s">
        <v>729</v>
      </c>
      <c r="K50" s="17" t="s">
        <v>848</v>
      </c>
      <c r="L50" s="17" t="s">
        <v>17</v>
      </c>
      <c r="M50" s="45" t="s">
        <v>593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43.5" customHeight="1">
      <c r="A51" s="14" t="s">
        <v>647</v>
      </c>
      <c r="B51" s="15" t="s">
        <v>444</v>
      </c>
      <c r="C51" s="15" t="s">
        <v>53</v>
      </c>
      <c r="D51" s="15" t="s">
        <v>890</v>
      </c>
      <c r="E51" s="15" t="s">
        <v>891</v>
      </c>
      <c r="F51" s="15" t="s">
        <v>892</v>
      </c>
      <c r="G51" s="15" t="s">
        <v>893</v>
      </c>
      <c r="H51" s="15" t="s">
        <v>894</v>
      </c>
      <c r="I51" s="15" t="s">
        <v>895</v>
      </c>
      <c r="J51" s="15" t="s">
        <v>729</v>
      </c>
      <c r="K51" s="15" t="s">
        <v>848</v>
      </c>
      <c r="L51" s="15" t="s">
        <v>31</v>
      </c>
      <c r="M51" s="45" t="s">
        <v>593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43.5" customHeight="1">
      <c r="A52" s="16" t="s">
        <v>655</v>
      </c>
      <c r="B52" s="17" t="s">
        <v>444</v>
      </c>
      <c r="C52" s="17" t="s">
        <v>53</v>
      </c>
      <c r="D52" s="17" t="s">
        <v>896</v>
      </c>
      <c r="E52" s="17" t="s">
        <v>897</v>
      </c>
      <c r="F52" s="17" t="s">
        <v>898</v>
      </c>
      <c r="G52" s="17" t="s">
        <v>899</v>
      </c>
      <c r="H52" s="17" t="s">
        <v>900</v>
      </c>
      <c r="I52" s="17" t="s">
        <v>901</v>
      </c>
      <c r="J52" s="17" t="s">
        <v>729</v>
      </c>
      <c r="K52" s="17" t="s">
        <v>848</v>
      </c>
      <c r="L52" s="17" t="s">
        <v>31</v>
      </c>
      <c r="M52" s="45" t="s">
        <v>593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43.5" customHeight="1">
      <c r="A53" s="14" t="s">
        <v>662</v>
      </c>
      <c r="B53" s="15" t="s">
        <v>444</v>
      </c>
      <c r="C53" s="15" t="s">
        <v>53</v>
      </c>
      <c r="D53" s="15" t="s">
        <v>902</v>
      </c>
      <c r="E53" s="15" t="s">
        <v>903</v>
      </c>
      <c r="F53" s="15" t="s">
        <v>904</v>
      </c>
      <c r="G53" s="15" t="s">
        <v>905</v>
      </c>
      <c r="H53" s="15" t="s">
        <v>906</v>
      </c>
      <c r="I53" s="15" t="s">
        <v>907</v>
      </c>
      <c r="J53" s="15" t="s">
        <v>729</v>
      </c>
      <c r="K53" s="15" t="s">
        <v>848</v>
      </c>
      <c r="L53" s="15" t="s">
        <v>17</v>
      </c>
      <c r="M53" s="45" t="s">
        <v>593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43.5" customHeight="1">
      <c r="A54" s="16" t="s">
        <v>668</v>
      </c>
      <c r="B54" s="17" t="s">
        <v>444</v>
      </c>
      <c r="C54" s="17" t="s">
        <v>53</v>
      </c>
      <c r="D54" s="17" t="s">
        <v>908</v>
      </c>
      <c r="E54" s="17" t="s">
        <v>909</v>
      </c>
      <c r="F54" s="17" t="s">
        <v>904</v>
      </c>
      <c r="G54" s="17" t="s">
        <v>910</v>
      </c>
      <c r="H54" s="17" t="s">
        <v>911</v>
      </c>
      <c r="I54" s="17" t="s">
        <v>912</v>
      </c>
      <c r="J54" s="17" t="s">
        <v>729</v>
      </c>
      <c r="K54" s="17" t="s">
        <v>848</v>
      </c>
      <c r="L54" s="17" t="s">
        <v>31</v>
      </c>
      <c r="M54" s="45" t="s">
        <v>593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43.5" customHeight="1">
      <c r="A55" s="14" t="s">
        <v>674</v>
      </c>
      <c r="B55" s="15" t="s">
        <v>444</v>
      </c>
      <c r="C55" s="15" t="s">
        <v>53</v>
      </c>
      <c r="D55" s="15" t="s">
        <v>913</v>
      </c>
      <c r="E55" s="15" t="s">
        <v>914</v>
      </c>
      <c r="F55" s="15" t="s">
        <v>915</v>
      </c>
      <c r="G55" s="15" t="s">
        <v>916</v>
      </c>
      <c r="H55" s="15" t="s">
        <v>917</v>
      </c>
      <c r="I55" s="15" t="s">
        <v>918</v>
      </c>
      <c r="J55" s="15" t="s">
        <v>729</v>
      </c>
      <c r="K55" s="15" t="s">
        <v>848</v>
      </c>
      <c r="L55" s="15" t="s">
        <v>31</v>
      </c>
      <c r="M55" s="45" t="s">
        <v>593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43.5" customHeight="1">
      <c r="A56" s="16" t="s">
        <v>680</v>
      </c>
      <c r="B56" s="17" t="s">
        <v>444</v>
      </c>
      <c r="C56" s="17" t="s">
        <v>53</v>
      </c>
      <c r="D56" s="17" t="s">
        <v>919</v>
      </c>
      <c r="E56" s="17" t="s">
        <v>920</v>
      </c>
      <c r="F56" s="17" t="s">
        <v>921</v>
      </c>
      <c r="G56" s="17" t="s">
        <v>922</v>
      </c>
      <c r="H56" s="17" t="s">
        <v>923</v>
      </c>
      <c r="I56" s="17" t="s">
        <v>924</v>
      </c>
      <c r="J56" s="17" t="s">
        <v>729</v>
      </c>
      <c r="K56" s="17" t="s">
        <v>848</v>
      </c>
      <c r="L56" s="17" t="s">
        <v>17</v>
      </c>
      <c r="M56" s="45" t="s">
        <v>593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43.5" customHeight="1">
      <c r="A57" s="14" t="s">
        <v>687</v>
      </c>
      <c r="B57" s="15" t="s">
        <v>444</v>
      </c>
      <c r="C57" s="15" t="s">
        <v>53</v>
      </c>
      <c r="D57" s="15" t="s">
        <v>925</v>
      </c>
      <c r="E57" s="15" t="s">
        <v>926</v>
      </c>
      <c r="F57" s="15" t="s">
        <v>927</v>
      </c>
      <c r="G57" s="15" t="s">
        <v>928</v>
      </c>
      <c r="H57" s="15" t="s">
        <v>623</v>
      </c>
      <c r="I57" s="15" t="s">
        <v>929</v>
      </c>
      <c r="J57" s="15" t="s">
        <v>729</v>
      </c>
      <c r="K57" s="15" t="s">
        <v>848</v>
      </c>
      <c r="L57" s="15" t="s">
        <v>17</v>
      </c>
      <c r="M57" s="45" t="s">
        <v>593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43.5" customHeight="1">
      <c r="A58" s="16" t="s">
        <v>694</v>
      </c>
      <c r="B58" s="17" t="s">
        <v>444</v>
      </c>
      <c r="C58" s="17" t="s">
        <v>53</v>
      </c>
      <c r="D58" s="17" t="s">
        <v>930</v>
      </c>
      <c r="E58" s="17" t="s">
        <v>931</v>
      </c>
      <c r="F58" s="17" t="s">
        <v>932</v>
      </c>
      <c r="G58" s="17" t="s">
        <v>933</v>
      </c>
      <c r="H58" s="17" t="s">
        <v>934</v>
      </c>
      <c r="I58" s="17" t="s">
        <v>935</v>
      </c>
      <c r="J58" s="17" t="s">
        <v>729</v>
      </c>
      <c r="K58" s="17" t="s">
        <v>848</v>
      </c>
      <c r="L58" s="17" t="s">
        <v>17</v>
      </c>
      <c r="M58" s="45" t="s">
        <v>593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43.5" customHeight="1">
      <c r="A59" s="14" t="s">
        <v>701</v>
      </c>
      <c r="B59" s="15" t="s">
        <v>444</v>
      </c>
      <c r="C59" s="15" t="s">
        <v>53</v>
      </c>
      <c r="D59" s="15" t="s">
        <v>936</v>
      </c>
      <c r="E59" s="15" t="s">
        <v>937</v>
      </c>
      <c r="F59" s="15" t="s">
        <v>938</v>
      </c>
      <c r="G59" s="15" t="s">
        <v>939</v>
      </c>
      <c r="H59" s="15" t="s">
        <v>940</v>
      </c>
      <c r="I59" s="15" t="s">
        <v>941</v>
      </c>
      <c r="J59" s="15" t="s">
        <v>729</v>
      </c>
      <c r="K59" s="15" t="s">
        <v>848</v>
      </c>
      <c r="L59" s="15" t="s">
        <v>35</v>
      </c>
      <c r="M59" s="45" t="s">
        <v>593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43.5" customHeight="1">
      <c r="A60" s="16" t="s">
        <v>707</v>
      </c>
      <c r="B60" s="17" t="s">
        <v>309</v>
      </c>
      <c r="C60" s="17" t="s">
        <v>71</v>
      </c>
      <c r="D60" s="17" t="s">
        <v>942</v>
      </c>
      <c r="E60" s="17" t="s">
        <v>943</v>
      </c>
      <c r="F60" s="17" t="s">
        <v>944</v>
      </c>
      <c r="G60" s="17" t="s">
        <v>945</v>
      </c>
      <c r="H60" s="17" t="s">
        <v>946</v>
      </c>
      <c r="I60" s="17" t="s">
        <v>947</v>
      </c>
      <c r="J60" s="17" t="s">
        <v>608</v>
      </c>
      <c r="K60" s="17" t="s">
        <v>948</v>
      </c>
      <c r="L60" s="17" t="s">
        <v>31</v>
      </c>
      <c r="M60" s="45" t="s">
        <v>593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43.5" customHeight="1">
      <c r="A61" s="14" t="s">
        <v>715</v>
      </c>
      <c r="B61" s="15" t="s">
        <v>309</v>
      </c>
      <c r="C61" s="15" t="s">
        <v>71</v>
      </c>
      <c r="D61" s="15" t="s">
        <v>949</v>
      </c>
      <c r="E61" s="15" t="s">
        <v>950</v>
      </c>
      <c r="F61" s="15" t="s">
        <v>951</v>
      </c>
      <c r="G61" s="15" t="s">
        <v>952</v>
      </c>
      <c r="H61" s="15" t="s">
        <v>953</v>
      </c>
      <c r="I61" s="15" t="s">
        <v>954</v>
      </c>
      <c r="J61" s="15" t="s">
        <v>608</v>
      </c>
      <c r="K61" s="15" t="s">
        <v>948</v>
      </c>
      <c r="L61" s="15" t="s">
        <v>31</v>
      </c>
      <c r="M61" s="45" t="s">
        <v>593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43.5" customHeight="1">
      <c r="A62" s="16" t="s">
        <v>722</v>
      </c>
      <c r="B62" s="17" t="s">
        <v>8</v>
      </c>
      <c r="C62" s="17" t="s">
        <v>71</v>
      </c>
      <c r="D62" s="17" t="s">
        <v>955</v>
      </c>
      <c r="E62" s="17" t="s">
        <v>956</v>
      </c>
      <c r="F62" s="17" t="s">
        <v>623</v>
      </c>
      <c r="G62" s="17" t="s">
        <v>957</v>
      </c>
      <c r="H62" s="17" t="s">
        <v>958</v>
      </c>
      <c r="I62" s="17" t="s">
        <v>959</v>
      </c>
      <c r="J62" s="17" t="s">
        <v>591</v>
      </c>
      <c r="K62" s="17" t="s">
        <v>960</v>
      </c>
      <c r="L62" s="17" t="s">
        <v>17</v>
      </c>
      <c r="M62" s="45" t="s">
        <v>593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43.5" customHeight="1">
      <c r="A63" s="14" t="s">
        <v>731</v>
      </c>
      <c r="B63" s="15" t="s">
        <v>8</v>
      </c>
      <c r="C63" s="15" t="s">
        <v>13</v>
      </c>
      <c r="D63" s="15" t="s">
        <v>961</v>
      </c>
      <c r="E63" s="15" t="s">
        <v>962</v>
      </c>
      <c r="F63" s="15" t="s">
        <v>963</v>
      </c>
      <c r="G63" s="15" t="s">
        <v>964</v>
      </c>
      <c r="H63" s="15" t="s">
        <v>965</v>
      </c>
      <c r="I63" s="15" t="s">
        <v>966</v>
      </c>
      <c r="J63" s="15" t="s">
        <v>608</v>
      </c>
      <c r="K63" s="15" t="s">
        <v>960</v>
      </c>
      <c r="L63" s="15" t="s">
        <v>17</v>
      </c>
      <c r="M63" s="45" t="s">
        <v>593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43.5" customHeight="1">
      <c r="A64" s="16" t="s">
        <v>737</v>
      </c>
      <c r="B64" s="17" t="s">
        <v>8</v>
      </c>
      <c r="C64" s="17" t="s">
        <v>13</v>
      </c>
      <c r="D64" s="17" t="s">
        <v>967</v>
      </c>
      <c r="E64" s="17" t="s">
        <v>968</v>
      </c>
      <c r="F64" s="17" t="s">
        <v>683</v>
      </c>
      <c r="G64" s="17" t="s">
        <v>969</v>
      </c>
      <c r="H64" s="17" t="s">
        <v>970</v>
      </c>
      <c r="I64" s="17" t="s">
        <v>971</v>
      </c>
      <c r="J64" s="17" t="s">
        <v>608</v>
      </c>
      <c r="K64" s="17" t="s">
        <v>948</v>
      </c>
      <c r="L64" s="17" t="s">
        <v>17</v>
      </c>
      <c r="M64" s="45" t="s">
        <v>593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43.5" customHeight="1">
      <c r="A65" s="14" t="s">
        <v>743</v>
      </c>
      <c r="B65" s="15" t="s">
        <v>309</v>
      </c>
      <c r="C65" s="15" t="s">
        <v>13</v>
      </c>
      <c r="D65" s="15" t="s">
        <v>972</v>
      </c>
      <c r="E65" s="15" t="s">
        <v>973</v>
      </c>
      <c r="F65" s="15" t="s">
        <v>974</v>
      </c>
      <c r="G65" s="15" t="s">
        <v>975</v>
      </c>
      <c r="H65" s="15" t="s">
        <v>976</v>
      </c>
      <c r="I65" s="15" t="s">
        <v>977</v>
      </c>
      <c r="J65" s="15" t="s">
        <v>608</v>
      </c>
      <c r="K65" s="15" t="s">
        <v>948</v>
      </c>
      <c r="L65" s="15" t="s">
        <v>17</v>
      </c>
      <c r="M65" s="45" t="s">
        <v>593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43.5" customHeight="1">
      <c r="A66" s="16" t="s">
        <v>751</v>
      </c>
      <c r="B66" s="17" t="s">
        <v>8</v>
      </c>
      <c r="C66" s="17" t="s">
        <v>13</v>
      </c>
      <c r="D66" s="17" t="s">
        <v>978</v>
      </c>
      <c r="E66" s="17" t="s">
        <v>979</v>
      </c>
      <c r="F66" s="17" t="s">
        <v>980</v>
      </c>
      <c r="G66" s="17" t="s">
        <v>981</v>
      </c>
      <c r="H66" s="17" t="s">
        <v>982</v>
      </c>
      <c r="I66" s="17" t="s">
        <v>983</v>
      </c>
      <c r="J66" s="17" t="s">
        <v>591</v>
      </c>
      <c r="K66" s="17" t="s">
        <v>960</v>
      </c>
      <c r="L66" s="17" t="s">
        <v>17</v>
      </c>
      <c r="M66" s="45" t="s">
        <v>593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43.5" customHeight="1">
      <c r="A67" s="14" t="s">
        <v>759</v>
      </c>
      <c r="B67" s="15" t="s">
        <v>8</v>
      </c>
      <c r="C67" s="15" t="s">
        <v>13</v>
      </c>
      <c r="D67" s="15" t="s">
        <v>78</v>
      </c>
      <c r="E67" s="15" t="s">
        <v>984</v>
      </c>
      <c r="F67" s="15" t="s">
        <v>985</v>
      </c>
      <c r="G67" s="15" t="s">
        <v>986</v>
      </c>
      <c r="H67" s="15" t="s">
        <v>987</v>
      </c>
      <c r="I67" s="15" t="s">
        <v>988</v>
      </c>
      <c r="J67" s="15" t="s">
        <v>608</v>
      </c>
      <c r="K67" s="15" t="s">
        <v>960</v>
      </c>
      <c r="L67" s="15" t="s">
        <v>35</v>
      </c>
      <c r="M67" s="45" t="s">
        <v>593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43.5" customHeight="1">
      <c r="A68" s="16" t="s">
        <v>766</v>
      </c>
      <c r="B68" s="17" t="s">
        <v>8</v>
      </c>
      <c r="C68" s="17" t="s">
        <v>13</v>
      </c>
      <c r="D68" s="17" t="s">
        <v>989</v>
      </c>
      <c r="E68" s="17" t="s">
        <v>990</v>
      </c>
      <c r="F68" s="17" t="s">
        <v>991</v>
      </c>
      <c r="G68" s="17" t="s">
        <v>992</v>
      </c>
      <c r="H68" s="17" t="s">
        <v>993</v>
      </c>
      <c r="I68" s="17" t="s">
        <v>994</v>
      </c>
      <c r="J68" s="17" t="s">
        <v>608</v>
      </c>
      <c r="K68" s="17" t="s">
        <v>960</v>
      </c>
      <c r="L68" s="17" t="s">
        <v>35</v>
      </c>
      <c r="M68" s="45" t="s">
        <v>593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43.5" customHeight="1">
      <c r="A69" s="14" t="s">
        <v>775</v>
      </c>
      <c r="B69" s="15" t="s">
        <v>309</v>
      </c>
      <c r="C69" s="15" t="s">
        <v>82</v>
      </c>
      <c r="D69" s="15" t="s">
        <v>995</v>
      </c>
      <c r="E69" s="15" t="s">
        <v>996</v>
      </c>
      <c r="F69" s="15" t="s">
        <v>997</v>
      </c>
      <c r="G69" s="15" t="s">
        <v>998</v>
      </c>
      <c r="H69" s="15" t="s">
        <v>999</v>
      </c>
      <c r="I69" s="15" t="s">
        <v>1000</v>
      </c>
      <c r="J69" s="15" t="s">
        <v>608</v>
      </c>
      <c r="K69" s="15" t="s">
        <v>948</v>
      </c>
      <c r="L69" s="15" t="s">
        <v>17</v>
      </c>
      <c r="M69" s="45" t="s">
        <v>593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43.5" customHeight="1">
      <c r="A70" s="16" t="s">
        <v>782</v>
      </c>
      <c r="B70" s="17" t="s">
        <v>8</v>
      </c>
      <c r="C70" s="17" t="s">
        <v>82</v>
      </c>
      <c r="D70" s="17" t="s">
        <v>1001</v>
      </c>
      <c r="E70" s="17" t="s">
        <v>1002</v>
      </c>
      <c r="F70" s="17" t="s">
        <v>623</v>
      </c>
      <c r="G70" s="17" t="s">
        <v>1003</v>
      </c>
      <c r="H70" s="17" t="s">
        <v>1004</v>
      </c>
      <c r="I70" s="17" t="s">
        <v>1005</v>
      </c>
      <c r="J70" s="17" t="s">
        <v>591</v>
      </c>
      <c r="K70" s="17" t="s">
        <v>960</v>
      </c>
      <c r="L70" s="17" t="s">
        <v>35</v>
      </c>
      <c r="M70" s="45" t="s">
        <v>593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43.5" customHeight="1">
      <c r="A71" s="14" t="s">
        <v>790</v>
      </c>
      <c r="B71" s="15" t="s">
        <v>309</v>
      </c>
      <c r="C71" s="15" t="s">
        <v>86</v>
      </c>
      <c r="D71" s="15" t="s">
        <v>1006</v>
      </c>
      <c r="E71" s="15" t="s">
        <v>1007</v>
      </c>
      <c r="F71" s="15" t="s">
        <v>1008</v>
      </c>
      <c r="G71" s="15" t="s">
        <v>1009</v>
      </c>
      <c r="H71" s="15" t="s">
        <v>1010</v>
      </c>
      <c r="I71" s="15" t="s">
        <v>1011</v>
      </c>
      <c r="J71" s="15" t="s">
        <v>608</v>
      </c>
      <c r="K71" s="15" t="s">
        <v>1012</v>
      </c>
      <c r="L71" s="15" t="s">
        <v>31</v>
      </c>
      <c r="M71" s="45" t="s">
        <v>593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43.5" customHeight="1">
      <c r="A72" s="16" t="s">
        <v>798</v>
      </c>
      <c r="B72" s="17" t="s">
        <v>8</v>
      </c>
      <c r="C72" s="17" t="s">
        <v>86</v>
      </c>
      <c r="D72" s="17" t="s">
        <v>1013</v>
      </c>
      <c r="E72" s="17" t="s">
        <v>1014</v>
      </c>
      <c r="F72" s="17" t="s">
        <v>1015</v>
      </c>
      <c r="G72" s="17" t="s">
        <v>1016</v>
      </c>
      <c r="H72" s="17" t="s">
        <v>1017</v>
      </c>
      <c r="I72" s="17" t="s">
        <v>1018</v>
      </c>
      <c r="J72" s="17" t="s">
        <v>591</v>
      </c>
      <c r="K72" s="17" t="s">
        <v>960</v>
      </c>
      <c r="L72" s="17" t="s">
        <v>17</v>
      </c>
      <c r="M72" s="45" t="s">
        <v>593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43.5" customHeight="1">
      <c r="A73" s="14" t="s">
        <v>806</v>
      </c>
      <c r="B73" s="15" t="s">
        <v>8</v>
      </c>
      <c r="C73" s="15" t="s">
        <v>86</v>
      </c>
      <c r="D73" s="15" t="s">
        <v>1019</v>
      </c>
      <c r="E73" s="15" t="s">
        <v>1020</v>
      </c>
      <c r="F73" s="15" t="s">
        <v>1021</v>
      </c>
      <c r="G73" s="15" t="s">
        <v>1022</v>
      </c>
      <c r="H73" s="15" t="s">
        <v>1023</v>
      </c>
      <c r="I73" s="15" t="s">
        <v>1024</v>
      </c>
      <c r="J73" s="15" t="s">
        <v>591</v>
      </c>
      <c r="K73" s="15" t="s">
        <v>960</v>
      </c>
      <c r="L73" s="15" t="s">
        <v>17</v>
      </c>
      <c r="M73" s="45" t="s">
        <v>593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43.5" customHeight="1">
      <c r="A74" s="16" t="s">
        <v>814</v>
      </c>
      <c r="B74" s="17" t="s">
        <v>8</v>
      </c>
      <c r="C74" s="17" t="s">
        <v>86</v>
      </c>
      <c r="D74" s="17" t="s">
        <v>1025</v>
      </c>
      <c r="E74" s="17" t="s">
        <v>1026</v>
      </c>
      <c r="F74" s="17" t="s">
        <v>1027</v>
      </c>
      <c r="G74" s="17" t="s">
        <v>1028</v>
      </c>
      <c r="H74" s="17" t="s">
        <v>623</v>
      </c>
      <c r="I74" s="17" t="s">
        <v>1029</v>
      </c>
      <c r="J74" s="17" t="s">
        <v>591</v>
      </c>
      <c r="K74" s="17" t="s">
        <v>960</v>
      </c>
      <c r="L74" s="17" t="s">
        <v>17</v>
      </c>
      <c r="M74" s="45" t="s">
        <v>593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43.5" customHeight="1">
      <c r="A75" s="14" t="s">
        <v>821</v>
      </c>
      <c r="B75" s="15" t="s">
        <v>309</v>
      </c>
      <c r="C75" s="15" t="s">
        <v>93</v>
      </c>
      <c r="D75" s="15" t="s">
        <v>1030</v>
      </c>
      <c r="E75" s="15" t="s">
        <v>1031</v>
      </c>
      <c r="F75" s="15" t="s">
        <v>1032</v>
      </c>
      <c r="G75" s="15" t="s">
        <v>1033</v>
      </c>
      <c r="H75" s="15" t="s">
        <v>1034</v>
      </c>
      <c r="I75" s="15" t="s">
        <v>1035</v>
      </c>
      <c r="J75" s="15" t="s">
        <v>608</v>
      </c>
      <c r="K75" s="15" t="s">
        <v>948</v>
      </c>
      <c r="L75" s="15" t="s">
        <v>31</v>
      </c>
      <c r="M75" s="45" t="s">
        <v>593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43.5" customHeight="1">
      <c r="A76" s="16" t="s">
        <v>827</v>
      </c>
      <c r="B76" s="17" t="s">
        <v>8</v>
      </c>
      <c r="C76" s="17" t="s">
        <v>93</v>
      </c>
      <c r="D76" s="17" t="s">
        <v>1036</v>
      </c>
      <c r="E76" s="17" t="s">
        <v>1037</v>
      </c>
      <c r="F76" s="17" t="s">
        <v>1038</v>
      </c>
      <c r="G76" s="17" t="s">
        <v>1039</v>
      </c>
      <c r="H76" s="17" t="s">
        <v>1040</v>
      </c>
      <c r="I76" s="17" t="s">
        <v>1041</v>
      </c>
      <c r="J76" s="17" t="s">
        <v>591</v>
      </c>
      <c r="K76" s="17" t="s">
        <v>960</v>
      </c>
      <c r="L76" s="17" t="s">
        <v>17</v>
      </c>
      <c r="M76" s="45" t="s">
        <v>593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43.5" customHeight="1">
      <c r="A77" s="14" t="s">
        <v>836</v>
      </c>
      <c r="B77" s="15" t="s">
        <v>309</v>
      </c>
      <c r="C77" s="15" t="s">
        <v>93</v>
      </c>
      <c r="D77" s="15" t="s">
        <v>1042</v>
      </c>
      <c r="E77" s="15" t="s">
        <v>1043</v>
      </c>
      <c r="F77" s="15" t="s">
        <v>1044</v>
      </c>
      <c r="G77" s="15" t="s">
        <v>1045</v>
      </c>
      <c r="H77" s="15" t="s">
        <v>1046</v>
      </c>
      <c r="I77" s="15" t="s">
        <v>1047</v>
      </c>
      <c r="J77" s="15" t="s">
        <v>608</v>
      </c>
      <c r="K77" s="15" t="s">
        <v>948</v>
      </c>
      <c r="L77" s="15" t="s">
        <v>31</v>
      </c>
      <c r="M77" s="45" t="s">
        <v>593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43.5" customHeight="1">
      <c r="A78" s="16" t="s">
        <v>1048</v>
      </c>
      <c r="B78" s="17" t="s">
        <v>8</v>
      </c>
      <c r="C78" s="17" t="s">
        <v>93</v>
      </c>
      <c r="D78" s="17" t="s">
        <v>1049</v>
      </c>
      <c r="E78" s="17" t="s">
        <v>1050</v>
      </c>
      <c r="F78" s="17" t="s">
        <v>623</v>
      </c>
      <c r="G78" s="17" t="s">
        <v>1051</v>
      </c>
      <c r="H78" s="17" t="s">
        <v>1052</v>
      </c>
      <c r="I78" s="17" t="s">
        <v>1053</v>
      </c>
      <c r="J78" s="17" t="s">
        <v>591</v>
      </c>
      <c r="K78" s="17" t="s">
        <v>960</v>
      </c>
      <c r="L78" s="17" t="s">
        <v>17</v>
      </c>
      <c r="M78" s="45" t="s">
        <v>593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43.5" customHeight="1">
      <c r="A79" s="14" t="s">
        <v>1054</v>
      </c>
      <c r="B79" s="15" t="s">
        <v>309</v>
      </c>
      <c r="C79" s="15" t="s">
        <v>93</v>
      </c>
      <c r="D79" s="15" t="s">
        <v>1055</v>
      </c>
      <c r="E79" s="15" t="s">
        <v>1056</v>
      </c>
      <c r="F79" s="15" t="s">
        <v>1057</v>
      </c>
      <c r="G79" s="15" t="s">
        <v>1058</v>
      </c>
      <c r="H79" s="15" t="s">
        <v>1059</v>
      </c>
      <c r="I79" s="15" t="s">
        <v>1060</v>
      </c>
      <c r="J79" s="15" t="s">
        <v>608</v>
      </c>
      <c r="K79" s="15" t="s">
        <v>948</v>
      </c>
      <c r="L79" s="15" t="s">
        <v>31</v>
      </c>
      <c r="M79" s="45" t="s">
        <v>593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43.5" customHeight="1">
      <c r="A80" s="16" t="s">
        <v>1061</v>
      </c>
      <c r="B80" s="17" t="s">
        <v>8</v>
      </c>
      <c r="C80" s="17" t="s">
        <v>93</v>
      </c>
      <c r="D80" s="17" t="s">
        <v>1062</v>
      </c>
      <c r="E80" s="17" t="s">
        <v>1063</v>
      </c>
      <c r="F80" s="17" t="s">
        <v>1064</v>
      </c>
      <c r="G80" s="17" t="s">
        <v>1065</v>
      </c>
      <c r="H80" s="17" t="s">
        <v>623</v>
      </c>
      <c r="I80" s="17" t="s">
        <v>1066</v>
      </c>
      <c r="J80" s="17" t="s">
        <v>608</v>
      </c>
      <c r="K80" s="17" t="s">
        <v>960</v>
      </c>
      <c r="L80" s="17" t="s">
        <v>35</v>
      </c>
      <c r="M80" s="45" t="s">
        <v>593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43.5" customHeight="1">
      <c r="A81" s="14" t="s">
        <v>1067</v>
      </c>
      <c r="B81" s="15" t="s">
        <v>8</v>
      </c>
      <c r="C81" s="15" t="s">
        <v>93</v>
      </c>
      <c r="D81" s="15" t="s">
        <v>1068</v>
      </c>
      <c r="E81" s="15" t="s">
        <v>1069</v>
      </c>
      <c r="F81" s="15" t="s">
        <v>1070</v>
      </c>
      <c r="G81" s="15" t="s">
        <v>1071</v>
      </c>
      <c r="H81" s="15" t="s">
        <v>1072</v>
      </c>
      <c r="I81" s="15" t="s">
        <v>1073</v>
      </c>
      <c r="J81" s="15" t="s">
        <v>591</v>
      </c>
      <c r="K81" s="15" t="s">
        <v>960</v>
      </c>
      <c r="L81" s="15" t="s">
        <v>17</v>
      </c>
      <c r="M81" s="45" t="s">
        <v>593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43.5" customHeight="1">
      <c r="A82" s="16" t="s">
        <v>1074</v>
      </c>
      <c r="B82" s="17" t="s">
        <v>309</v>
      </c>
      <c r="C82" s="17" t="s">
        <v>37</v>
      </c>
      <c r="D82" s="17" t="s">
        <v>1075</v>
      </c>
      <c r="E82" s="17" t="s">
        <v>1076</v>
      </c>
      <c r="F82" s="17" t="s">
        <v>1077</v>
      </c>
      <c r="G82" s="17" t="s">
        <v>1078</v>
      </c>
      <c r="H82" s="17" t="s">
        <v>1079</v>
      </c>
      <c r="I82" s="17" t="s">
        <v>1080</v>
      </c>
      <c r="J82" s="17" t="s">
        <v>608</v>
      </c>
      <c r="K82" s="17" t="s">
        <v>948</v>
      </c>
      <c r="L82" s="17" t="s">
        <v>31</v>
      </c>
      <c r="M82" s="45" t="s">
        <v>593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43.5" customHeight="1">
      <c r="A83" s="14" t="s">
        <v>1081</v>
      </c>
      <c r="B83" s="15" t="s">
        <v>309</v>
      </c>
      <c r="C83" s="15" t="s">
        <v>37</v>
      </c>
      <c r="D83" s="15" t="s">
        <v>1082</v>
      </c>
      <c r="E83" s="15" t="s">
        <v>1083</v>
      </c>
      <c r="F83" s="15" t="s">
        <v>1077</v>
      </c>
      <c r="G83" s="15" t="s">
        <v>1084</v>
      </c>
      <c r="H83" s="15" t="s">
        <v>1085</v>
      </c>
      <c r="I83" s="15" t="s">
        <v>1086</v>
      </c>
      <c r="J83" s="15" t="s">
        <v>608</v>
      </c>
      <c r="K83" s="15" t="s">
        <v>948</v>
      </c>
      <c r="L83" s="15" t="s">
        <v>17</v>
      </c>
      <c r="M83" s="45" t="s">
        <v>593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43.5" customHeight="1">
      <c r="A84" s="16" t="s">
        <v>1087</v>
      </c>
      <c r="B84" s="17" t="s">
        <v>8</v>
      </c>
      <c r="C84" s="17" t="s">
        <v>37</v>
      </c>
      <c r="D84" s="17" t="s">
        <v>1088</v>
      </c>
      <c r="E84" s="17" t="s">
        <v>1089</v>
      </c>
      <c r="F84" s="17" t="s">
        <v>1090</v>
      </c>
      <c r="G84" s="17" t="s">
        <v>1091</v>
      </c>
      <c r="H84" s="17" t="s">
        <v>1092</v>
      </c>
      <c r="I84" s="17" t="s">
        <v>1093</v>
      </c>
      <c r="J84" s="17" t="s">
        <v>591</v>
      </c>
      <c r="K84" s="17" t="s">
        <v>960</v>
      </c>
      <c r="L84" s="17" t="s">
        <v>31</v>
      </c>
      <c r="M84" s="45" t="s">
        <v>593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43.5" customHeight="1">
      <c r="A85" s="14" t="s">
        <v>1094</v>
      </c>
      <c r="B85" s="15" t="s">
        <v>309</v>
      </c>
      <c r="C85" s="15" t="s">
        <v>37</v>
      </c>
      <c r="D85" s="15" t="s">
        <v>1095</v>
      </c>
      <c r="E85" s="15" t="s">
        <v>1096</v>
      </c>
      <c r="F85" s="15" t="s">
        <v>1097</v>
      </c>
      <c r="G85" s="15" t="s">
        <v>1098</v>
      </c>
      <c r="H85" s="15" t="s">
        <v>1099</v>
      </c>
      <c r="I85" s="15" t="s">
        <v>1100</v>
      </c>
      <c r="J85" s="15" t="s">
        <v>608</v>
      </c>
      <c r="K85" s="15" t="s">
        <v>1101</v>
      </c>
      <c r="L85" s="15" t="s">
        <v>31</v>
      </c>
      <c r="M85" s="45" t="s">
        <v>593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43.5" customHeight="1">
      <c r="A86" s="16" t="s">
        <v>1102</v>
      </c>
      <c r="B86" s="17" t="s">
        <v>8</v>
      </c>
      <c r="C86" s="17" t="s">
        <v>37</v>
      </c>
      <c r="D86" s="17" t="s">
        <v>1103</v>
      </c>
      <c r="E86" s="17" t="s">
        <v>1104</v>
      </c>
      <c r="F86" s="17" t="s">
        <v>1105</v>
      </c>
      <c r="G86" s="17" t="s">
        <v>1106</v>
      </c>
      <c r="H86" s="17" t="s">
        <v>1107</v>
      </c>
      <c r="I86" s="17" t="s">
        <v>1108</v>
      </c>
      <c r="J86" s="17" t="s">
        <v>591</v>
      </c>
      <c r="K86" s="17" t="s">
        <v>960</v>
      </c>
      <c r="L86" s="17" t="s">
        <v>17</v>
      </c>
      <c r="M86" s="45" t="s">
        <v>593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43.5" customHeight="1">
      <c r="A87" s="14" t="s">
        <v>1109</v>
      </c>
      <c r="B87" s="15" t="s">
        <v>48</v>
      </c>
      <c r="C87" s="15" t="s">
        <v>219</v>
      </c>
      <c r="D87" s="15" t="s">
        <v>1110</v>
      </c>
      <c r="E87" s="15" t="s">
        <v>1111</v>
      </c>
      <c r="F87" s="15" t="s">
        <v>1112</v>
      </c>
      <c r="G87" s="15" t="s">
        <v>1113</v>
      </c>
      <c r="H87" s="15" t="s">
        <v>1114</v>
      </c>
      <c r="I87" s="15" t="s">
        <v>1115</v>
      </c>
      <c r="J87" s="15" t="s">
        <v>729</v>
      </c>
      <c r="K87" s="15" t="s">
        <v>251</v>
      </c>
      <c r="L87" s="15" t="s">
        <v>31</v>
      </c>
      <c r="M87" s="45" t="s">
        <v>593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43.5" customHeight="1">
      <c r="A88" s="16" t="s">
        <v>1116</v>
      </c>
      <c r="B88" s="17" t="s">
        <v>48</v>
      </c>
      <c r="C88" s="17" t="s">
        <v>219</v>
      </c>
      <c r="D88" s="17" t="s">
        <v>1117</v>
      </c>
      <c r="E88" s="17" t="s">
        <v>1118</v>
      </c>
      <c r="F88" s="17" t="s">
        <v>1119</v>
      </c>
      <c r="G88" s="17" t="s">
        <v>1120</v>
      </c>
      <c r="H88" s="17" t="s">
        <v>1121</v>
      </c>
      <c r="I88" s="17" t="s">
        <v>1122</v>
      </c>
      <c r="J88" s="17" t="s">
        <v>729</v>
      </c>
      <c r="K88" s="17" t="s">
        <v>251</v>
      </c>
      <c r="L88" s="17" t="s">
        <v>17</v>
      </c>
      <c r="M88" s="45" t="s">
        <v>593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43.5" customHeight="1">
      <c r="A89" s="14" t="s">
        <v>1123</v>
      </c>
      <c r="B89" s="15" t="s">
        <v>48</v>
      </c>
      <c r="C89" s="15" t="s">
        <v>219</v>
      </c>
      <c r="D89" s="15" t="s">
        <v>1124</v>
      </c>
      <c r="E89" s="15" t="s">
        <v>1125</v>
      </c>
      <c r="F89" s="15" t="s">
        <v>1126</v>
      </c>
      <c r="G89" s="15" t="s">
        <v>1127</v>
      </c>
      <c r="H89" s="15" t="s">
        <v>1128</v>
      </c>
      <c r="I89" s="15" t="s">
        <v>1129</v>
      </c>
      <c r="J89" s="15" t="s">
        <v>729</v>
      </c>
      <c r="K89" s="15" t="s">
        <v>848</v>
      </c>
      <c r="L89" s="15" t="s">
        <v>31</v>
      </c>
      <c r="M89" s="45" t="s">
        <v>593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43.5" customHeight="1">
      <c r="A90" s="16" t="s">
        <v>1130</v>
      </c>
      <c r="B90" s="17" t="s">
        <v>48</v>
      </c>
      <c r="C90" s="17" t="s">
        <v>159</v>
      </c>
      <c r="D90" s="17" t="s">
        <v>1131</v>
      </c>
      <c r="E90" s="17" t="s">
        <v>1132</v>
      </c>
      <c r="F90" s="17" t="s">
        <v>1133</v>
      </c>
      <c r="G90" s="17" t="s">
        <v>1134</v>
      </c>
      <c r="H90" s="17" t="s">
        <v>1072</v>
      </c>
      <c r="I90" s="17" t="s">
        <v>1073</v>
      </c>
      <c r="J90" s="17" t="s">
        <v>729</v>
      </c>
      <c r="K90" s="17" t="s">
        <v>251</v>
      </c>
      <c r="L90" s="17" t="s">
        <v>31</v>
      </c>
      <c r="M90" s="45" t="s">
        <v>593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43.5" customHeight="1">
      <c r="A91" s="14" t="s">
        <v>1135</v>
      </c>
      <c r="B91" s="15" t="s">
        <v>48</v>
      </c>
      <c r="C91" s="15" t="s">
        <v>1136</v>
      </c>
      <c r="D91" s="15" t="s">
        <v>1137</v>
      </c>
      <c r="E91" s="15" t="s">
        <v>1138</v>
      </c>
      <c r="F91" s="15" t="s">
        <v>1139</v>
      </c>
      <c r="G91" s="15" t="s">
        <v>1140</v>
      </c>
      <c r="H91" s="15" t="s">
        <v>623</v>
      </c>
      <c r="I91" s="15" t="s">
        <v>1141</v>
      </c>
      <c r="J91" s="15" t="s">
        <v>608</v>
      </c>
      <c r="K91" s="15" t="s">
        <v>948</v>
      </c>
      <c r="L91" s="15" t="s">
        <v>31</v>
      </c>
      <c r="M91" s="45" t="s">
        <v>593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43.5" customHeight="1">
      <c r="A92" s="16" t="s">
        <v>1142</v>
      </c>
      <c r="B92" s="17" t="s">
        <v>48</v>
      </c>
      <c r="C92" s="17" t="s">
        <v>249</v>
      </c>
      <c r="D92" s="17" t="s">
        <v>1143</v>
      </c>
      <c r="E92" s="17" t="s">
        <v>1144</v>
      </c>
      <c r="F92" s="17" t="s">
        <v>786</v>
      </c>
      <c r="G92" s="17" t="s">
        <v>1145</v>
      </c>
      <c r="H92" s="17" t="s">
        <v>1146</v>
      </c>
      <c r="I92" s="17" t="s">
        <v>1147</v>
      </c>
      <c r="J92" s="17" t="s">
        <v>729</v>
      </c>
      <c r="K92" s="17" t="s">
        <v>251</v>
      </c>
      <c r="L92" s="17" t="s">
        <v>31</v>
      </c>
      <c r="M92" s="45" t="s">
        <v>593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43.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43.5" customHeight="1">
      <c r="A94" s="49" t="s">
        <v>111</v>
      </c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43.5" customHeight="1">
      <c r="A95" s="39" t="s">
        <v>584</v>
      </c>
      <c r="B95" s="20" t="s">
        <v>120</v>
      </c>
      <c r="C95" s="20" t="s">
        <v>1148</v>
      </c>
      <c r="D95" s="20" t="s">
        <v>1149</v>
      </c>
      <c r="E95" s="20" t="s">
        <v>1150</v>
      </c>
      <c r="F95" s="20" t="s">
        <v>1151</v>
      </c>
      <c r="G95" s="20" t="s">
        <v>1152</v>
      </c>
      <c r="H95" s="20" t="s">
        <v>1153</v>
      </c>
      <c r="I95" s="20" t="s">
        <v>1154</v>
      </c>
      <c r="J95" s="20" t="s">
        <v>625</v>
      </c>
      <c r="K95" s="20" t="s">
        <v>625</v>
      </c>
      <c r="L95" s="20" t="s">
        <v>31</v>
      </c>
      <c r="M95" s="50" t="s">
        <v>593</v>
      </c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43.5" customHeight="1">
      <c r="A96" s="40" t="s">
        <v>594</v>
      </c>
      <c r="B96" s="23" t="s">
        <v>120</v>
      </c>
      <c r="C96" s="23" t="s">
        <v>1148</v>
      </c>
      <c r="D96" s="23" t="s">
        <v>1155</v>
      </c>
      <c r="E96" s="23" t="s">
        <v>1156</v>
      </c>
      <c r="F96" s="23" t="s">
        <v>1157</v>
      </c>
      <c r="G96" s="23" t="s">
        <v>1158</v>
      </c>
      <c r="H96" s="23" t="s">
        <v>1159</v>
      </c>
      <c r="I96" s="23" t="s">
        <v>1160</v>
      </c>
      <c r="J96" s="23" t="s">
        <v>729</v>
      </c>
      <c r="K96" s="23" t="s">
        <v>960</v>
      </c>
      <c r="L96" s="23" t="s">
        <v>17</v>
      </c>
      <c r="M96" s="50" t="s">
        <v>593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43.5" customHeight="1">
      <c r="A97" s="39" t="s">
        <v>601</v>
      </c>
      <c r="B97" s="20" t="s">
        <v>120</v>
      </c>
      <c r="C97" s="20" t="s">
        <v>1148</v>
      </c>
      <c r="D97" s="20" t="s">
        <v>808</v>
      </c>
      <c r="E97" s="20" t="s">
        <v>1161</v>
      </c>
      <c r="F97" s="20" t="s">
        <v>1162</v>
      </c>
      <c r="G97" s="20" t="s">
        <v>1163</v>
      </c>
      <c r="H97" s="20" t="s">
        <v>1164</v>
      </c>
      <c r="I97" s="20" t="s">
        <v>1165</v>
      </c>
      <c r="J97" s="20" t="s">
        <v>729</v>
      </c>
      <c r="K97" s="20" t="s">
        <v>960</v>
      </c>
      <c r="L97" s="20" t="s">
        <v>17</v>
      </c>
      <c r="M97" s="50" t="s">
        <v>593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43.5" customHeight="1">
      <c r="A98" s="40" t="s">
        <v>610</v>
      </c>
      <c r="B98" s="23" t="s">
        <v>120</v>
      </c>
      <c r="C98" s="23" t="s">
        <v>1148</v>
      </c>
      <c r="D98" s="23" t="s">
        <v>1166</v>
      </c>
      <c r="E98" s="23" t="s">
        <v>1167</v>
      </c>
      <c r="F98" s="23" t="s">
        <v>1168</v>
      </c>
      <c r="G98" s="23" t="s">
        <v>1169</v>
      </c>
      <c r="H98" s="23" t="s">
        <v>1170</v>
      </c>
      <c r="I98" s="23" t="s">
        <v>1171</v>
      </c>
      <c r="J98" s="23" t="s">
        <v>729</v>
      </c>
      <c r="K98" s="23" t="s">
        <v>960</v>
      </c>
      <c r="L98" s="23" t="s">
        <v>35</v>
      </c>
      <c r="M98" s="50" t="s">
        <v>593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43.5" customHeight="1">
      <c r="A99" s="39" t="s">
        <v>618</v>
      </c>
      <c r="B99" s="20" t="s">
        <v>120</v>
      </c>
      <c r="C99" s="20" t="s">
        <v>1148</v>
      </c>
      <c r="D99" s="20" t="s">
        <v>1172</v>
      </c>
      <c r="E99" s="20" t="s">
        <v>1173</v>
      </c>
      <c r="F99" s="20" t="s">
        <v>1174</v>
      </c>
      <c r="G99" s="20" t="s">
        <v>1175</v>
      </c>
      <c r="H99" s="20" t="s">
        <v>1176</v>
      </c>
      <c r="I99" s="20" t="s">
        <v>1177</v>
      </c>
      <c r="J99" s="20" t="s">
        <v>625</v>
      </c>
      <c r="K99" s="20" t="s">
        <v>625</v>
      </c>
      <c r="L99" s="20" t="s">
        <v>1178</v>
      </c>
      <c r="M99" s="50" t="s">
        <v>593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43.5" customHeight="1">
      <c r="A100" s="40" t="s">
        <v>626</v>
      </c>
      <c r="B100" s="23" t="s">
        <v>527</v>
      </c>
      <c r="C100" s="23" t="s">
        <v>1148</v>
      </c>
      <c r="D100" s="23" t="s">
        <v>1179</v>
      </c>
      <c r="E100" s="23" t="s">
        <v>1180</v>
      </c>
      <c r="F100" s="23" t="s">
        <v>1181</v>
      </c>
      <c r="G100" s="23" t="s">
        <v>1182</v>
      </c>
      <c r="H100" s="23" t="s">
        <v>1176</v>
      </c>
      <c r="I100" s="23" t="s">
        <v>1183</v>
      </c>
      <c r="J100" s="23" t="s">
        <v>625</v>
      </c>
      <c r="K100" s="23" t="s">
        <v>625</v>
      </c>
      <c r="L100" s="23" t="s">
        <v>31</v>
      </c>
      <c r="M100" s="50" t="s">
        <v>593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43.5" customHeight="1">
      <c r="A101" s="39" t="s">
        <v>633</v>
      </c>
      <c r="B101" s="20" t="s">
        <v>120</v>
      </c>
      <c r="C101" s="20" t="s">
        <v>1148</v>
      </c>
      <c r="D101" s="20" t="s">
        <v>1184</v>
      </c>
      <c r="E101" s="20" t="s">
        <v>1185</v>
      </c>
      <c r="F101" s="20" t="s">
        <v>1186</v>
      </c>
      <c r="G101" s="20" t="s">
        <v>1187</v>
      </c>
      <c r="H101" s="20" t="s">
        <v>1188</v>
      </c>
      <c r="I101" s="20" t="s">
        <v>1189</v>
      </c>
      <c r="J101" s="20" t="s">
        <v>591</v>
      </c>
      <c r="K101" s="20" t="s">
        <v>1190</v>
      </c>
      <c r="L101" s="20" t="s">
        <v>17</v>
      </c>
      <c r="M101" s="50" t="s">
        <v>593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43.5" customHeight="1">
      <c r="A102" s="40" t="s">
        <v>640</v>
      </c>
      <c r="B102" s="23" t="s">
        <v>527</v>
      </c>
      <c r="C102" s="23" t="s">
        <v>1148</v>
      </c>
      <c r="D102" s="23" t="s">
        <v>1191</v>
      </c>
      <c r="E102" s="23" t="s">
        <v>1192</v>
      </c>
      <c r="F102" s="23" t="s">
        <v>1193</v>
      </c>
      <c r="G102" s="23" t="s">
        <v>1194</v>
      </c>
      <c r="H102" s="23" t="s">
        <v>1195</v>
      </c>
      <c r="I102" s="23" t="s">
        <v>1196</v>
      </c>
      <c r="J102" s="23" t="s">
        <v>729</v>
      </c>
      <c r="K102" s="23" t="s">
        <v>960</v>
      </c>
      <c r="L102" s="23" t="s">
        <v>31</v>
      </c>
      <c r="M102" s="50" t="s">
        <v>593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43.5" customHeight="1">
      <c r="A103" s="39" t="s">
        <v>647</v>
      </c>
      <c r="B103" s="20" t="s">
        <v>120</v>
      </c>
      <c r="C103" s="20" t="s">
        <v>203</v>
      </c>
      <c r="D103" s="20" t="s">
        <v>1197</v>
      </c>
      <c r="E103" s="20" t="s">
        <v>1198</v>
      </c>
      <c r="F103" s="20" t="s">
        <v>1199</v>
      </c>
      <c r="G103" s="20" t="s">
        <v>1200</v>
      </c>
      <c r="H103" s="20" t="s">
        <v>1201</v>
      </c>
      <c r="I103" s="20" t="s">
        <v>1202</v>
      </c>
      <c r="J103" s="20" t="s">
        <v>625</v>
      </c>
      <c r="K103" s="20" t="s">
        <v>625</v>
      </c>
      <c r="L103" s="20" t="s">
        <v>31</v>
      </c>
      <c r="M103" s="50" t="s">
        <v>593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43.5" customHeight="1">
      <c r="A104" s="40" t="s">
        <v>655</v>
      </c>
      <c r="B104" s="23" t="s">
        <v>120</v>
      </c>
      <c r="C104" s="23" t="s">
        <v>203</v>
      </c>
      <c r="D104" s="23" t="s">
        <v>1203</v>
      </c>
      <c r="E104" s="23" t="s">
        <v>1204</v>
      </c>
      <c r="F104" s="23" t="s">
        <v>1205</v>
      </c>
      <c r="G104" s="23" t="s">
        <v>1206</v>
      </c>
      <c r="H104" s="23" t="s">
        <v>1207</v>
      </c>
      <c r="I104" s="23" t="s">
        <v>1208</v>
      </c>
      <c r="J104" s="23" t="s">
        <v>625</v>
      </c>
      <c r="K104" s="23" t="s">
        <v>960</v>
      </c>
      <c r="L104" s="23" t="s">
        <v>31</v>
      </c>
      <c r="M104" s="50" t="s">
        <v>593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43.5" customHeight="1">
      <c r="A105" s="39" t="s">
        <v>662</v>
      </c>
      <c r="B105" s="20" t="s">
        <v>120</v>
      </c>
      <c r="C105" s="20" t="s">
        <v>203</v>
      </c>
      <c r="D105" s="20" t="s">
        <v>1209</v>
      </c>
      <c r="E105" s="20" t="s">
        <v>1210</v>
      </c>
      <c r="F105" s="20" t="s">
        <v>1211</v>
      </c>
      <c r="G105" s="20" t="s">
        <v>1212</v>
      </c>
      <c r="H105" s="20" t="s">
        <v>1213</v>
      </c>
      <c r="I105" s="20" t="s">
        <v>1214</v>
      </c>
      <c r="J105" s="20" t="s">
        <v>625</v>
      </c>
      <c r="K105" s="20" t="s">
        <v>625</v>
      </c>
      <c r="L105" s="20" t="s">
        <v>17</v>
      </c>
      <c r="M105" s="50" t="s">
        <v>593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43.5" customHeight="1">
      <c r="A106" s="40" t="s">
        <v>668</v>
      </c>
      <c r="B106" s="23" t="s">
        <v>120</v>
      </c>
      <c r="C106" s="23" t="s">
        <v>203</v>
      </c>
      <c r="D106" s="23" t="s">
        <v>1215</v>
      </c>
      <c r="E106" s="23" t="s">
        <v>1216</v>
      </c>
      <c r="F106" s="23" t="s">
        <v>1217</v>
      </c>
      <c r="G106" s="23" t="s">
        <v>1218</v>
      </c>
      <c r="H106" s="23" t="s">
        <v>1219</v>
      </c>
      <c r="I106" s="23" t="s">
        <v>1220</v>
      </c>
      <c r="J106" s="23" t="s">
        <v>729</v>
      </c>
      <c r="K106" s="23" t="s">
        <v>960</v>
      </c>
      <c r="L106" s="23" t="s">
        <v>31</v>
      </c>
      <c r="M106" s="50" t="s">
        <v>593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43.5" customHeight="1">
      <c r="A107" s="39" t="s">
        <v>674</v>
      </c>
      <c r="B107" s="20" t="s">
        <v>562</v>
      </c>
      <c r="C107" s="20" t="s">
        <v>203</v>
      </c>
      <c r="D107" s="20" t="s">
        <v>1221</v>
      </c>
      <c r="E107" s="20" t="s">
        <v>1222</v>
      </c>
      <c r="F107" s="20" t="s">
        <v>1223</v>
      </c>
      <c r="G107" s="20" t="s">
        <v>1224</v>
      </c>
      <c r="H107" s="20" t="s">
        <v>1225</v>
      </c>
      <c r="I107" s="20" t="s">
        <v>1226</v>
      </c>
      <c r="J107" s="20" t="s">
        <v>591</v>
      </c>
      <c r="K107" s="20" t="s">
        <v>625</v>
      </c>
      <c r="L107" s="20" t="s">
        <v>35</v>
      </c>
      <c r="M107" s="52" t="s">
        <v>667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43.5" customHeight="1">
      <c r="A108" s="40" t="s">
        <v>680</v>
      </c>
      <c r="B108" s="23" t="s">
        <v>120</v>
      </c>
      <c r="C108" s="23" t="s">
        <v>203</v>
      </c>
      <c r="D108" s="23" t="s">
        <v>1227</v>
      </c>
      <c r="E108" s="23" t="s">
        <v>1228</v>
      </c>
      <c r="F108" s="23" t="s">
        <v>1229</v>
      </c>
      <c r="G108" s="23" t="s">
        <v>1230</v>
      </c>
      <c r="H108" s="23" t="s">
        <v>1227</v>
      </c>
      <c r="I108" s="23" t="s">
        <v>1231</v>
      </c>
      <c r="J108" s="23" t="s">
        <v>729</v>
      </c>
      <c r="K108" s="23" t="s">
        <v>1232</v>
      </c>
      <c r="L108" s="23" t="s">
        <v>17</v>
      </c>
      <c r="M108" s="50" t="s">
        <v>593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43.5" customHeight="1">
      <c r="A109" s="39" t="s">
        <v>687</v>
      </c>
      <c r="B109" s="20" t="s">
        <v>120</v>
      </c>
      <c r="C109" s="20" t="s">
        <v>617</v>
      </c>
      <c r="D109" s="20" t="s">
        <v>1233</v>
      </c>
      <c r="E109" s="20" t="s">
        <v>1234</v>
      </c>
      <c r="F109" s="20" t="s">
        <v>1235</v>
      </c>
      <c r="G109" s="20" t="s">
        <v>1236</v>
      </c>
      <c r="H109" s="20" t="s">
        <v>1176</v>
      </c>
      <c r="I109" s="20" t="s">
        <v>1237</v>
      </c>
      <c r="J109" s="20" t="s">
        <v>625</v>
      </c>
      <c r="K109" s="20" t="s">
        <v>625</v>
      </c>
      <c r="L109" s="20" t="s">
        <v>17</v>
      </c>
      <c r="M109" s="50" t="s">
        <v>593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43.5" customHeight="1">
      <c r="A110" s="40" t="s">
        <v>694</v>
      </c>
      <c r="B110" s="23" t="s">
        <v>120</v>
      </c>
      <c r="C110" s="23" t="s">
        <v>617</v>
      </c>
      <c r="D110" s="23" t="s">
        <v>1238</v>
      </c>
      <c r="E110" s="23" t="s">
        <v>1239</v>
      </c>
      <c r="F110" s="23" t="s">
        <v>1240</v>
      </c>
      <c r="G110" s="23" t="s">
        <v>1241</v>
      </c>
      <c r="H110" s="23" t="s">
        <v>1242</v>
      </c>
      <c r="I110" s="23" t="s">
        <v>1243</v>
      </c>
      <c r="J110" s="23" t="s">
        <v>625</v>
      </c>
      <c r="K110" s="23" t="s">
        <v>625</v>
      </c>
      <c r="L110" s="23" t="s">
        <v>35</v>
      </c>
      <c r="M110" s="50" t="s">
        <v>593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43.5" customHeight="1">
      <c r="A111" s="39" t="s">
        <v>701</v>
      </c>
      <c r="B111" s="20" t="s">
        <v>120</v>
      </c>
      <c r="C111" s="20" t="s">
        <v>617</v>
      </c>
      <c r="D111" s="20" t="s">
        <v>1244</v>
      </c>
      <c r="E111" s="20" t="s">
        <v>1245</v>
      </c>
      <c r="F111" s="20" t="s">
        <v>1246</v>
      </c>
      <c r="G111" s="20" t="s">
        <v>1247</v>
      </c>
      <c r="H111" s="20" t="s">
        <v>1248</v>
      </c>
      <c r="I111" s="20" t="s">
        <v>1249</v>
      </c>
      <c r="J111" s="20" t="s">
        <v>625</v>
      </c>
      <c r="K111" s="20" t="s">
        <v>625</v>
      </c>
      <c r="L111" s="20" t="s">
        <v>35</v>
      </c>
      <c r="M111" s="50" t="s">
        <v>593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43.5" customHeight="1">
      <c r="A112" s="40" t="s">
        <v>707</v>
      </c>
      <c r="B112" s="23" t="s">
        <v>120</v>
      </c>
      <c r="C112" s="23" t="s">
        <v>617</v>
      </c>
      <c r="D112" s="23" t="s">
        <v>1250</v>
      </c>
      <c r="E112" s="23" t="s">
        <v>1251</v>
      </c>
      <c r="F112" s="23" t="s">
        <v>1252</v>
      </c>
      <c r="G112" s="23" t="s">
        <v>1253</v>
      </c>
      <c r="H112" s="23" t="s">
        <v>1254</v>
      </c>
      <c r="I112" s="23" t="s">
        <v>1255</v>
      </c>
      <c r="J112" s="23" t="s">
        <v>625</v>
      </c>
      <c r="K112" s="23" t="s">
        <v>1256</v>
      </c>
      <c r="L112" s="23" t="s">
        <v>17</v>
      </c>
      <c r="M112" s="50" t="s">
        <v>593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43.5" customHeight="1">
      <c r="A113" s="39" t="s">
        <v>715</v>
      </c>
      <c r="B113" s="20" t="s">
        <v>262</v>
      </c>
      <c r="C113" s="20" t="s">
        <v>1257</v>
      </c>
      <c r="D113" s="20" t="s">
        <v>1258</v>
      </c>
      <c r="E113" s="20" t="s">
        <v>1259</v>
      </c>
      <c r="F113" s="20" t="s">
        <v>1260</v>
      </c>
      <c r="G113" s="20" t="s">
        <v>1261</v>
      </c>
      <c r="H113" s="20" t="s">
        <v>1262</v>
      </c>
      <c r="I113" s="20" t="s">
        <v>1263</v>
      </c>
      <c r="J113" s="20" t="s">
        <v>625</v>
      </c>
      <c r="K113" s="20" t="s">
        <v>625</v>
      </c>
      <c r="L113" s="20" t="s">
        <v>17</v>
      </c>
      <c r="M113" s="50" t="s">
        <v>593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43.5" customHeight="1">
      <c r="A114" s="40" t="s">
        <v>722</v>
      </c>
      <c r="B114" s="23" t="s">
        <v>262</v>
      </c>
      <c r="C114" s="23" t="s">
        <v>1264</v>
      </c>
      <c r="D114" s="23" t="s">
        <v>1265</v>
      </c>
      <c r="E114" s="23" t="s">
        <v>1266</v>
      </c>
      <c r="F114" s="23" t="s">
        <v>1267</v>
      </c>
      <c r="G114" s="23" t="s">
        <v>1268</v>
      </c>
      <c r="H114" s="23" t="s">
        <v>1176</v>
      </c>
      <c r="I114" s="23" t="s">
        <v>1269</v>
      </c>
      <c r="J114" s="23" t="s">
        <v>625</v>
      </c>
      <c r="K114" s="23" t="s">
        <v>625</v>
      </c>
      <c r="L114" s="23" t="s">
        <v>35</v>
      </c>
      <c r="M114" s="50" t="s">
        <v>593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43.5" customHeight="1">
      <c r="A115" s="39" t="s">
        <v>731</v>
      </c>
      <c r="B115" s="20" t="s">
        <v>518</v>
      </c>
      <c r="C115" s="20" t="s">
        <v>1270</v>
      </c>
      <c r="D115" s="20" t="s">
        <v>1271</v>
      </c>
      <c r="E115" s="20" t="s">
        <v>1272</v>
      </c>
      <c r="F115" s="20" t="s">
        <v>1273</v>
      </c>
      <c r="G115" s="20" t="s">
        <v>1274</v>
      </c>
      <c r="H115" s="20" t="s">
        <v>1275</v>
      </c>
      <c r="I115" s="20" t="s">
        <v>1276</v>
      </c>
      <c r="J115" s="20" t="s">
        <v>591</v>
      </c>
      <c r="K115" s="20" t="s">
        <v>1277</v>
      </c>
      <c r="L115" s="20" t="s">
        <v>17</v>
      </c>
      <c r="M115" s="50" t="s">
        <v>593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43.5" customHeight="1">
      <c r="A116" s="40" t="s">
        <v>737</v>
      </c>
      <c r="B116" s="23" t="s">
        <v>518</v>
      </c>
      <c r="C116" s="23" t="s">
        <v>1270</v>
      </c>
      <c r="D116" s="23" t="s">
        <v>1278</v>
      </c>
      <c r="E116" s="23" t="s">
        <v>1279</v>
      </c>
      <c r="F116" s="23" t="s">
        <v>1280</v>
      </c>
      <c r="G116" s="23" t="s">
        <v>1281</v>
      </c>
      <c r="H116" s="23" t="s">
        <v>1282</v>
      </c>
      <c r="I116" s="23" t="s">
        <v>1283</v>
      </c>
      <c r="J116" s="23" t="s">
        <v>591</v>
      </c>
      <c r="K116" s="23" t="s">
        <v>1277</v>
      </c>
      <c r="L116" s="23" t="s">
        <v>35</v>
      </c>
      <c r="M116" s="50" t="s">
        <v>593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43.5" customHeight="1">
      <c r="A117" s="39" t="s">
        <v>743</v>
      </c>
      <c r="B117" s="20" t="s">
        <v>536</v>
      </c>
      <c r="C117" s="20" t="s">
        <v>1284</v>
      </c>
      <c r="D117" s="20" t="s">
        <v>1285</v>
      </c>
      <c r="E117" s="20" t="s">
        <v>1286</v>
      </c>
      <c r="F117" s="20" t="s">
        <v>1287</v>
      </c>
      <c r="G117" s="20" t="s">
        <v>1288</v>
      </c>
      <c r="H117" s="20" t="s">
        <v>1289</v>
      </c>
      <c r="I117" s="20" t="s">
        <v>1290</v>
      </c>
      <c r="J117" s="20" t="s">
        <v>625</v>
      </c>
      <c r="K117" s="20" t="s">
        <v>625</v>
      </c>
      <c r="L117" s="20" t="s">
        <v>35</v>
      </c>
      <c r="M117" s="50" t="s">
        <v>593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43.5" customHeight="1">
      <c r="A118" s="40" t="s">
        <v>751</v>
      </c>
      <c r="B118" s="23" t="s">
        <v>120</v>
      </c>
      <c r="C118" s="23" t="s">
        <v>1284</v>
      </c>
      <c r="D118" s="23" t="s">
        <v>1291</v>
      </c>
      <c r="E118" s="23" t="s">
        <v>1292</v>
      </c>
      <c r="F118" s="23" t="s">
        <v>1293</v>
      </c>
      <c r="G118" s="23" t="s">
        <v>1294</v>
      </c>
      <c r="H118" s="23" t="s">
        <v>1295</v>
      </c>
      <c r="I118" s="23" t="s">
        <v>1296</v>
      </c>
      <c r="J118" s="23" t="s">
        <v>625</v>
      </c>
      <c r="K118" s="23" t="s">
        <v>625</v>
      </c>
      <c r="L118" s="23" t="s">
        <v>35</v>
      </c>
      <c r="M118" s="50" t="s">
        <v>593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43.5" customHeight="1">
      <c r="A119" s="39" t="s">
        <v>759</v>
      </c>
      <c r="B119" s="20" t="s">
        <v>120</v>
      </c>
      <c r="C119" s="20" t="s">
        <v>62</v>
      </c>
      <c r="D119" s="20" t="s">
        <v>1297</v>
      </c>
      <c r="E119" s="20" t="s">
        <v>1298</v>
      </c>
      <c r="F119" s="20" t="s">
        <v>1299</v>
      </c>
      <c r="G119" s="20" t="s">
        <v>1300</v>
      </c>
      <c r="H119" s="20" t="s">
        <v>1301</v>
      </c>
      <c r="I119" s="20" t="s">
        <v>1302</v>
      </c>
      <c r="J119" s="20" t="s">
        <v>625</v>
      </c>
      <c r="K119" s="20" t="s">
        <v>625</v>
      </c>
      <c r="L119" s="20" t="s">
        <v>35</v>
      </c>
      <c r="M119" s="50" t="s">
        <v>593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43.5" customHeight="1">
      <c r="A120" s="40" t="s">
        <v>766</v>
      </c>
      <c r="B120" s="23" t="s">
        <v>536</v>
      </c>
      <c r="C120" s="23" t="s">
        <v>62</v>
      </c>
      <c r="D120" s="23" t="s">
        <v>1303</v>
      </c>
      <c r="E120" s="23" t="s">
        <v>1304</v>
      </c>
      <c r="F120" s="23" t="s">
        <v>1305</v>
      </c>
      <c r="G120" s="23" t="s">
        <v>1306</v>
      </c>
      <c r="H120" s="23" t="s">
        <v>1307</v>
      </c>
      <c r="I120" s="23" t="s">
        <v>1308</v>
      </c>
      <c r="J120" s="23" t="s">
        <v>625</v>
      </c>
      <c r="K120" s="23" t="s">
        <v>960</v>
      </c>
      <c r="L120" s="23" t="s">
        <v>17</v>
      </c>
      <c r="M120" s="52" t="s">
        <v>667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43.5" customHeight="1">
      <c r="A121" s="39" t="s">
        <v>775</v>
      </c>
      <c r="B121" s="20" t="s">
        <v>120</v>
      </c>
      <c r="C121" s="20" t="s">
        <v>62</v>
      </c>
      <c r="D121" s="20" t="s">
        <v>1309</v>
      </c>
      <c r="E121" s="20" t="s">
        <v>1310</v>
      </c>
      <c r="F121" s="20" t="s">
        <v>1311</v>
      </c>
      <c r="G121" s="20" t="s">
        <v>1312</v>
      </c>
      <c r="H121" s="20" t="s">
        <v>1313</v>
      </c>
      <c r="I121" s="20" t="s">
        <v>1314</v>
      </c>
      <c r="J121" s="20" t="s">
        <v>591</v>
      </c>
      <c r="K121" s="20" t="s">
        <v>1315</v>
      </c>
      <c r="L121" s="20" t="s">
        <v>17</v>
      </c>
      <c r="M121" s="53" t="s">
        <v>797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43.5" customHeight="1">
      <c r="A122" s="40" t="s">
        <v>782</v>
      </c>
      <c r="B122" s="23" t="s">
        <v>120</v>
      </c>
      <c r="C122" s="23" t="s">
        <v>62</v>
      </c>
      <c r="D122" s="23" t="s">
        <v>1316</v>
      </c>
      <c r="E122" s="23" t="s">
        <v>1317</v>
      </c>
      <c r="F122" s="23" t="s">
        <v>1318</v>
      </c>
      <c r="G122" s="23" t="s">
        <v>1319</v>
      </c>
      <c r="H122" s="23" t="s">
        <v>1320</v>
      </c>
      <c r="I122" s="23" t="s">
        <v>1321</v>
      </c>
      <c r="J122" s="23" t="s">
        <v>591</v>
      </c>
      <c r="K122" s="23" t="s">
        <v>625</v>
      </c>
      <c r="L122" s="23" t="s">
        <v>17</v>
      </c>
      <c r="M122" s="53" t="s">
        <v>797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43.5" customHeight="1">
      <c r="A123" s="39" t="s">
        <v>790</v>
      </c>
      <c r="B123" s="20" t="s">
        <v>120</v>
      </c>
      <c r="C123" s="20" t="s">
        <v>62</v>
      </c>
      <c r="D123" s="20" t="s">
        <v>1322</v>
      </c>
      <c r="E123" s="20" t="s">
        <v>1323</v>
      </c>
      <c r="F123" s="20" t="s">
        <v>1324</v>
      </c>
      <c r="G123" s="20" t="s">
        <v>1325</v>
      </c>
      <c r="H123" s="20" t="s">
        <v>1326</v>
      </c>
      <c r="I123" s="20" t="s">
        <v>1327</v>
      </c>
      <c r="J123" s="20" t="s">
        <v>625</v>
      </c>
      <c r="K123" s="20" t="s">
        <v>625</v>
      </c>
      <c r="L123" s="20" t="s">
        <v>17</v>
      </c>
      <c r="M123" s="53" t="s">
        <v>797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43.5" customHeight="1">
      <c r="A124" s="40" t="s">
        <v>798</v>
      </c>
      <c r="B124" s="23" t="s">
        <v>120</v>
      </c>
      <c r="C124" s="23" t="s">
        <v>62</v>
      </c>
      <c r="D124" s="23" t="s">
        <v>1328</v>
      </c>
      <c r="E124" s="23" t="s">
        <v>1329</v>
      </c>
      <c r="F124" s="23" t="s">
        <v>1330</v>
      </c>
      <c r="G124" s="23" t="s">
        <v>1331</v>
      </c>
      <c r="H124" s="23" t="s">
        <v>1332</v>
      </c>
      <c r="I124" s="23" t="s">
        <v>1333</v>
      </c>
      <c r="J124" s="23" t="s">
        <v>625</v>
      </c>
      <c r="K124" s="23" t="s">
        <v>625</v>
      </c>
      <c r="L124" s="23" t="s">
        <v>35</v>
      </c>
      <c r="M124" s="50" t="s">
        <v>593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43.5" customHeight="1">
      <c r="A125" s="39" t="s">
        <v>806</v>
      </c>
      <c r="B125" s="20" t="s">
        <v>120</v>
      </c>
      <c r="C125" s="20" t="s">
        <v>1334</v>
      </c>
      <c r="D125" s="20" t="s">
        <v>1335</v>
      </c>
      <c r="E125" s="20" t="s">
        <v>1336</v>
      </c>
      <c r="F125" s="20" t="s">
        <v>1337</v>
      </c>
      <c r="G125" s="20" t="s">
        <v>1338</v>
      </c>
      <c r="H125" s="20" t="s">
        <v>1339</v>
      </c>
      <c r="I125" s="20" t="s">
        <v>1340</v>
      </c>
      <c r="J125" s="20" t="s">
        <v>729</v>
      </c>
      <c r="K125" s="20" t="s">
        <v>1232</v>
      </c>
      <c r="L125" s="20" t="s">
        <v>31</v>
      </c>
      <c r="M125" s="50" t="s">
        <v>593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43.5" customHeight="1">
      <c r="A126" s="54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43.5" customHeight="1">
      <c r="A127" s="54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43.5" customHeight="1">
      <c r="A128" s="55" t="s">
        <v>1341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43.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43.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43.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43.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43.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43.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43.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43.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43.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43.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43.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</sheetData>
  <mergeCells count="3">
    <mergeCell ref="A1:M1"/>
    <mergeCell ref="B2:M2"/>
    <mergeCell ref="A128:M12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6.0"/>
    <col customWidth="1" min="3" max="3" width="24.0"/>
    <col customWidth="1" min="4" max="4" width="12.0"/>
    <col customWidth="1" min="5" max="5" width="16.0"/>
    <col customWidth="1" min="6" max="6" width="26.0"/>
    <col customWidth="1" min="7" max="26" width="8.71"/>
  </cols>
  <sheetData>
    <row r="1" ht="24.0" customHeight="1">
      <c r="A1" s="57" t="s">
        <v>1342</v>
      </c>
      <c r="B1" s="2"/>
      <c r="C1" s="2"/>
      <c r="D1" s="2"/>
      <c r="E1" s="2"/>
      <c r="F1" s="3"/>
    </row>
    <row r="2" ht="21.75" customHeight="1">
      <c r="A2" s="5" t="s">
        <v>1343</v>
      </c>
      <c r="B2" s="58">
        <v>46106.0</v>
      </c>
      <c r="C2" s="8"/>
      <c r="D2" s="5" t="s">
        <v>1344</v>
      </c>
      <c r="E2" s="6" t="s">
        <v>1345</v>
      </c>
    </row>
    <row r="3">
      <c r="A3" s="8"/>
      <c r="B3" s="8"/>
      <c r="C3" s="8"/>
      <c r="D3" s="8"/>
      <c r="E3" s="8"/>
      <c r="F3" s="8"/>
    </row>
    <row r="4" ht="19.5" customHeight="1">
      <c r="A4" s="9" t="s">
        <v>1346</v>
      </c>
      <c r="B4" s="2"/>
      <c r="C4" s="2"/>
      <c r="D4" s="2"/>
      <c r="E4" s="2"/>
      <c r="F4" s="3"/>
    </row>
    <row r="5" ht="27.75" customHeight="1">
      <c r="A5" s="10" t="s">
        <v>1347</v>
      </c>
      <c r="B5" s="10" t="s">
        <v>1348</v>
      </c>
      <c r="C5" s="10" t="s">
        <v>1349</v>
      </c>
      <c r="D5" s="8"/>
      <c r="E5" s="8"/>
      <c r="F5" s="8"/>
    </row>
    <row r="6" ht="27.75" customHeight="1">
      <c r="A6" s="12" t="s">
        <v>1350</v>
      </c>
      <c r="B6" s="59">
        <f>COUNTA('4_Test_Case'!A5:A1100)</f>
        <v>119</v>
      </c>
      <c r="C6" s="12" t="s">
        <v>1351</v>
      </c>
      <c r="D6" s="8"/>
      <c r="E6" s="8"/>
      <c r="F6" s="8"/>
    </row>
    <row r="7" ht="27.75" customHeight="1">
      <c r="A7" s="11" t="s">
        <v>1352</v>
      </c>
      <c r="B7" s="60">
        <f>COUNTIF('4_Test_Case'!M5:M1100,"Pass")+COUNTIF('4_Test_Case'!M5:M1100,"Fail")</f>
        <v>110</v>
      </c>
      <c r="C7" s="11" t="s">
        <v>1353</v>
      </c>
      <c r="D7" s="8"/>
      <c r="E7" s="8"/>
      <c r="F7" s="8"/>
    </row>
    <row r="8" ht="27.75" customHeight="1">
      <c r="A8" s="12" t="s">
        <v>1354</v>
      </c>
      <c r="B8" s="59">
        <f>COUNTIF('4_Test_Case'!M5:M1100,"Pass")</f>
        <v>103</v>
      </c>
      <c r="C8" s="12" t="s">
        <v>1355</v>
      </c>
      <c r="D8" s="8"/>
      <c r="E8" s="8"/>
      <c r="F8" s="8"/>
    </row>
    <row r="9" ht="27.75" customHeight="1">
      <c r="A9" s="11" t="s">
        <v>1356</v>
      </c>
      <c r="B9" s="60">
        <f>COUNTIF('4_Test_Case'!M5:M1100,"Fail")</f>
        <v>7</v>
      </c>
      <c r="C9" s="11" t="s">
        <v>1357</v>
      </c>
      <c r="D9" s="8"/>
      <c r="E9" s="8"/>
      <c r="F9" s="8"/>
    </row>
    <row r="10" ht="27.75" customHeight="1">
      <c r="A10" s="12" t="s">
        <v>1358</v>
      </c>
      <c r="B10" s="59">
        <f>COUNTIF('4_Test_Case'!M5:M1100,"Not Run")</f>
        <v>6</v>
      </c>
      <c r="C10" s="12" t="s">
        <v>1359</v>
      </c>
      <c r="D10" s="8"/>
      <c r="E10" s="8"/>
      <c r="F10" s="8"/>
    </row>
    <row r="11" ht="27.75" customHeight="1">
      <c r="A11" s="11" t="s">
        <v>1360</v>
      </c>
      <c r="B11" s="61">
        <f>IF(B8=0,0,B8/B6)</f>
        <v>0.8655462185</v>
      </c>
      <c r="C11" s="11" t="s">
        <v>1361</v>
      </c>
      <c r="D11" s="8"/>
      <c r="E11" s="8"/>
      <c r="F11" s="8"/>
    </row>
    <row r="12" ht="27.75" customHeight="1">
      <c r="A12" s="12" t="s">
        <v>1362</v>
      </c>
      <c r="B12" s="62">
        <f>IF(B7=0,0,B8/B7)</f>
        <v>0.9363636364</v>
      </c>
      <c r="C12" s="12" t="s">
        <v>1363</v>
      </c>
      <c r="D12" s="8"/>
      <c r="E12" s="8"/>
      <c r="F12" s="8"/>
    </row>
    <row r="13" ht="27.75" customHeight="1">
      <c r="A13" s="8"/>
      <c r="B13" s="8"/>
      <c r="C13" s="8"/>
      <c r="D13" s="8"/>
      <c r="E13" s="8"/>
      <c r="F13" s="8"/>
    </row>
    <row r="14" ht="27.75" customHeight="1">
      <c r="A14" s="41" t="s">
        <v>1364</v>
      </c>
      <c r="B14" s="2"/>
      <c r="C14" s="2"/>
      <c r="D14" s="2"/>
      <c r="E14" s="2"/>
      <c r="F14" s="3"/>
    </row>
    <row r="15" ht="27.75" customHeight="1">
      <c r="A15" s="28" t="s">
        <v>353</v>
      </c>
      <c r="B15" s="28" t="s">
        <v>1365</v>
      </c>
      <c r="C15" s="28" t="s">
        <v>593</v>
      </c>
      <c r="D15" s="28" t="s">
        <v>667</v>
      </c>
      <c r="E15" s="28" t="s">
        <v>797</v>
      </c>
      <c r="F15" s="28" t="s">
        <v>1366</v>
      </c>
    </row>
    <row r="16" ht="27.75" customHeight="1">
      <c r="A16" s="29" t="s">
        <v>8</v>
      </c>
      <c r="B16" s="29">
        <f>COUNTIF('4_Test_Case'!B5:B1100,"Chức năng")</f>
        <v>30</v>
      </c>
      <c r="C16" s="29">
        <f>COUNTIFS('4_Test_Case'!B5:B1100,"Chức năng",'4_Test_Case'!M5:M1100,"Pass")</f>
        <v>29</v>
      </c>
      <c r="D16" s="29">
        <f>COUNTIFS('4_Test_Case'!B5:B1100,"Chức năng",'4_Test_Case'!M5:M1100,"Fail")</f>
        <v>1</v>
      </c>
      <c r="E16" s="29">
        <f>COUNTIFS('4_Test_Case'!B5:B1100,"Chức năng",'4_Test_Case'!M5:M1100,"Not Run")</f>
        <v>0</v>
      </c>
      <c r="F16" s="63">
        <f t="shared" ref="F16:F18" si="1">IF(B16=0,0,C16/B16)</f>
        <v>0.9666666667</v>
      </c>
    </row>
    <row r="17" ht="27.75" customHeight="1">
      <c r="A17" s="11" t="s">
        <v>309</v>
      </c>
      <c r="B17" s="11">
        <f>COUNTIF('4_Test_Case'!B5:B1100,"Tích hợp")</f>
        <v>18</v>
      </c>
      <c r="C17" s="11">
        <f>COUNTIFS('4_Test_Case'!B5:B1100,"Tích hợp",'4_Test_Case'!M5:M1100,"Pass")</f>
        <v>17</v>
      </c>
      <c r="D17" s="11">
        <f>COUNTIFS('4_Test_Case'!B5:B1100,"Tích hợp",'4_Test_Case'!M5:M1100,"Fail")</f>
        <v>1</v>
      </c>
      <c r="E17" s="11">
        <f>COUNTIFS('4_Test_Case'!B5:B1100,"Tích hợp",'4_Test_Case'!M5:M1100,"Not Run")</f>
        <v>0</v>
      </c>
      <c r="F17" s="61">
        <f t="shared" si="1"/>
        <v>0.9444444444</v>
      </c>
    </row>
    <row r="18" ht="27.75" customHeight="1">
      <c r="A18" s="29" t="s">
        <v>48</v>
      </c>
      <c r="B18" s="29">
        <f>COUNTIF('4_Test_Case'!B5:B1100,"Hệ thống")</f>
        <v>20</v>
      </c>
      <c r="C18" s="29">
        <f>COUNTIFS('4_Test_Case'!B5:B1100,"Hệ thống",'4_Test_Case'!M5:M1100,"Pass")</f>
        <v>14</v>
      </c>
      <c r="D18" s="29">
        <f>COUNTIFS('4_Test_Case'!B5:B1100,"Hệ thống",'4_Test_Case'!M5:M1100,"Fail")</f>
        <v>3</v>
      </c>
      <c r="E18" s="29">
        <f>COUNTIFS('4_Test_Case'!B5:B1100,"Hệ thống",'4_Test_Case'!M5:M1100,"Not Run")</f>
        <v>3</v>
      </c>
      <c r="F18" s="63">
        <f t="shared" si="1"/>
        <v>0.7</v>
      </c>
    </row>
    <row r="19" ht="27.75" customHeight="1">
      <c r="A19" s="8"/>
      <c r="B19" s="8"/>
      <c r="C19" s="8"/>
      <c r="D19" s="8"/>
      <c r="E19" s="8"/>
      <c r="F19" s="8"/>
    </row>
    <row r="20" ht="27.75" customHeight="1">
      <c r="A20" s="34" t="s">
        <v>1367</v>
      </c>
      <c r="B20" s="2"/>
      <c r="C20" s="2"/>
      <c r="D20" s="2"/>
      <c r="E20" s="2"/>
      <c r="F20" s="3"/>
    </row>
    <row r="21" ht="27.75" customHeight="1">
      <c r="A21" s="35" t="s">
        <v>284</v>
      </c>
      <c r="B21" s="35" t="s">
        <v>1368</v>
      </c>
      <c r="C21" s="35" t="s">
        <v>593</v>
      </c>
      <c r="D21" s="35" t="s">
        <v>667</v>
      </c>
      <c r="E21" s="35" t="s">
        <v>797</v>
      </c>
      <c r="F21" s="35" t="s">
        <v>349</v>
      </c>
    </row>
    <row r="22" ht="27.75" customHeight="1">
      <c r="A22" s="36" t="s">
        <v>750</v>
      </c>
      <c r="B22" s="36">
        <f>COUNTIF('4_Test_Case'!K5:K1100,"Lighthouse")</f>
        <v>2</v>
      </c>
      <c r="C22" s="36">
        <f>COUNTIFS('4_Test_Case'!K5:K1100,"Lighthouse",'4_Test_Case'!M5:M1100,"Pass")</f>
        <v>2</v>
      </c>
      <c r="D22" s="36">
        <f>COUNTIFS('4_Test_Case'!K5:K1100,"Lighthouse",'4_Test_Case'!M5:M1100,"Fail")</f>
        <v>0</v>
      </c>
      <c r="E22" s="36">
        <f>COUNTIFS('4_Test_Case'!K5:K1100,"Lighthouse",'4_Test_Case'!M5:M1100,"Not Run")</f>
        <v>0</v>
      </c>
      <c r="F22" s="36" t="s">
        <v>1369</v>
      </c>
    </row>
    <row r="23" ht="27.75" customHeight="1">
      <c r="A23" s="11" t="s">
        <v>253</v>
      </c>
      <c r="B23" s="11">
        <f>COUNTIF('4_Test_Case'!K5:K1100,"JMeter")</f>
        <v>1</v>
      </c>
      <c r="C23" s="11">
        <f>COUNTIFS('4_Test_Case'!K5:K1100,"JMeter",'4_Test_Case'!M5:M1100,"Pass")</f>
        <v>0</v>
      </c>
      <c r="D23" s="11">
        <f>COUNTIFS('4_Test_Case'!K5:K1100,"JMeter",'4_Test_Case'!M5:M1100,"Fail")</f>
        <v>1</v>
      </c>
      <c r="E23" s="11">
        <f>COUNTIFS('4_Test_Case'!K5:K1100,"JMeter",'4_Test_Case'!M5:M1100,"Not Run")</f>
        <v>0</v>
      </c>
      <c r="F23" s="11" t="s">
        <v>1370</v>
      </c>
    </row>
    <row r="24" ht="27.75" customHeight="1">
      <c r="A24" s="36" t="s">
        <v>774</v>
      </c>
      <c r="B24" s="36">
        <f>COUNTIF('4_Test_Case'!K5:K1100,"OWASP ZAP")</f>
        <v>1</v>
      </c>
      <c r="C24" s="36">
        <f>COUNTIFS('4_Test_Case'!K5:K1100,"OWASP ZAP",'4_Test_Case'!M5:M1100,"Pass")</f>
        <v>0</v>
      </c>
      <c r="D24" s="36">
        <f>COUNTIFS('4_Test_Case'!K5:K1100,"OWASP ZAP",'4_Test_Case'!M5:M1100,"Fail")</f>
        <v>1</v>
      </c>
      <c r="E24" s="36">
        <f>COUNTIFS('4_Test_Case'!K5:K1100,"OWASP ZAP",'4_Test_Case'!M5:M1100,"Not Run")</f>
        <v>0</v>
      </c>
      <c r="F24" s="36" t="s">
        <v>1371</v>
      </c>
    </row>
    <row r="25" ht="27.75" customHeight="1">
      <c r="A25" s="11" t="s">
        <v>730</v>
      </c>
      <c r="B25" s="11">
        <f>COUNTIF('4_Test_Case'!K5:K1100,"Playwright")</f>
        <v>3</v>
      </c>
      <c r="C25" s="11">
        <f>COUNTIFS('4_Test_Case'!K5:K1100,"Playwright",'4_Test_Case'!M5:M1100,"Pass")</f>
        <v>2</v>
      </c>
      <c r="D25" s="11">
        <f>COUNTIFS('4_Test_Case'!K5:K1100,"Playwright",'4_Test_Case'!M5:M1100,"Fail")</f>
        <v>0</v>
      </c>
      <c r="E25" s="11">
        <f>COUNTIFS('4_Test_Case'!K5:K1100,"Playwright",'4_Test_Case'!M5:M1100,"Not Run")</f>
        <v>1</v>
      </c>
      <c r="F25" s="11" t="s">
        <v>1372</v>
      </c>
    </row>
    <row r="26" ht="27.75" customHeight="1">
      <c r="A26" s="36" t="s">
        <v>251</v>
      </c>
      <c r="B26" s="36">
        <f>COUNTIF('4_Test_Case'!K5:K1100,"Postman/Newman")</f>
        <v>7</v>
      </c>
      <c r="C26" s="36">
        <f>COUNTIFS('4_Test_Case'!K5:K1100,"Postman/Newman",'4_Test_Case'!M5:M1100,"Pass")</f>
        <v>7</v>
      </c>
      <c r="D26" s="36">
        <f>COUNTIFS('4_Test_Case'!K5:K1100,"Postman/Newman",'4_Test_Case'!M5:M1100,"Fail")</f>
        <v>0</v>
      </c>
      <c r="E26" s="36">
        <f>COUNTIFS('4_Test_Case'!K5:K1100,"Postman/Newman",'4_Test_Case'!M5:M1100,"Not Run")</f>
        <v>0</v>
      </c>
      <c r="F26" s="36" t="s">
        <v>1373</v>
      </c>
    </row>
    <row r="27" ht="27.75" customHeight="1">
      <c r="A27" s="8"/>
      <c r="B27" s="8"/>
      <c r="C27" s="8"/>
      <c r="D27" s="8"/>
      <c r="E27" s="8"/>
      <c r="F27" s="8"/>
    </row>
    <row r="28" ht="27.75" customHeight="1">
      <c r="A28" s="64" t="s">
        <v>1374</v>
      </c>
      <c r="B28" s="2"/>
      <c r="C28" s="2"/>
      <c r="D28" s="2"/>
      <c r="E28" s="2"/>
      <c r="F28" s="3"/>
    </row>
    <row r="29" ht="27.75" customHeight="1">
      <c r="A29" s="65" t="s">
        <v>1375</v>
      </c>
      <c r="B29" s="66"/>
      <c r="C29" s="66"/>
      <c r="D29" s="66"/>
      <c r="E29" s="66"/>
      <c r="F29" s="67"/>
    </row>
    <row r="30" ht="27.75" customHeight="1">
      <c r="A30" s="68"/>
      <c r="F30" s="69"/>
    </row>
    <row r="31" ht="15.75" customHeight="1">
      <c r="A31" s="70"/>
      <c r="B31" s="26"/>
      <c r="C31" s="26"/>
      <c r="D31" s="26"/>
      <c r="E31" s="26"/>
      <c r="F31" s="2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E2:F2"/>
    <mergeCell ref="A4:F4"/>
    <mergeCell ref="A14:F14"/>
    <mergeCell ref="A20:F20"/>
    <mergeCell ref="A28:F28"/>
    <mergeCell ref="A29:F31"/>
  </mergeCells>
  <printOptions/>
  <pageMargins bottom="0.75" footer="0.0" header="0.0" left="0.7" right="0.7" top="0.75"/>
  <pageSetup orientation="landscape"/>
  <drawing r:id="rId2"/>
  <legacyDrawing r:id="rId3"/>
</worksheet>
</file>